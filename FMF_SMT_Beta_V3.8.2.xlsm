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defaultThemeVersion="166925"/>
  <mc:AlternateContent xmlns:mc="http://schemas.openxmlformats.org/markup-compatibility/2006">
    <mc:Choice Requires="x15">
      <x15ac:absPath xmlns:x15ac="http://schemas.microsoft.com/office/spreadsheetml/2010/11/ac" url="/Users/oscar/Desktop/"/>
    </mc:Choice>
  </mc:AlternateContent>
  <xr:revisionPtr revIDLastSave="0" documentId="13_ncr:1_{E8D49953-6CF2-7647-8D05-E2F1A8B1F056}" xr6:coauthVersionLast="47" xr6:coauthVersionMax="47" xr10:uidLastSave="{00000000-0000-0000-0000-000000000000}"/>
  <bookViews>
    <workbookView xWindow="0" yWindow="760" windowWidth="30240" windowHeight="18880" tabRatio="913" firstSheet="23" activeTab="51" xr2:uid="{6BA40073-F710-44D4-A833-63B1E3CA8E48}"/>
  </bookViews>
  <sheets>
    <sheet name="Instructions" sheetId="25" r:id="rId1"/>
    <sheet name="Dates" sheetId="28" r:id="rId2"/>
    <sheet name="Info" sheetId="23" r:id="rId3"/>
    <sheet name="CalendarPlan" sheetId="15" r:id="rId4"/>
    <sheet name="CSE CM" sheetId="13" r:id="rId5"/>
    <sheet name="CSE PM" sheetId="12" r:id="rId6"/>
    <sheet name="DataInput CSE" sheetId="20" r:id="rId7"/>
    <sheet name="MSE PM" sheetId="10" r:id="rId8"/>
    <sheet name="MSE CM" sheetId="11" r:id="rId9"/>
    <sheet name="DataInput MSE" sheetId="17" r:id="rId10"/>
    <sheet name="Controls" sheetId="9" r:id="rId11"/>
    <sheet name="Charts" sheetId="39" r:id="rId12"/>
    <sheet name="WeekReport" sheetId="27" r:id="rId13"/>
    <sheet name="WeekLog_40" sheetId="69" state="hidden" r:id="rId14"/>
    <sheet name="Week_40" sheetId="68" r:id="rId15"/>
    <sheet name="WeekLog_39" sheetId="67" state="hidden" r:id="rId16"/>
    <sheet name="Week_39" sheetId="66" r:id="rId17"/>
    <sheet name="WeekLog_38" sheetId="65" state="hidden" r:id="rId18"/>
    <sheet name="Week_38" sheetId="64" r:id="rId19"/>
    <sheet name="WeekLog_37" sheetId="62" state="hidden" r:id="rId20"/>
    <sheet name="Week_37" sheetId="61" r:id="rId21"/>
    <sheet name="WeekLog_36" sheetId="60" state="hidden" r:id="rId22"/>
    <sheet name="Week_36" sheetId="59" r:id="rId23"/>
    <sheet name="WeekLog_35" sheetId="58" state="hidden" r:id="rId24"/>
    <sheet name="Week_35" sheetId="57" r:id="rId25"/>
    <sheet name="WeekLog_33" sheetId="51" state="hidden" r:id="rId26"/>
    <sheet name="Week_33" sheetId="50" r:id="rId27"/>
    <sheet name="WeekLog_32" sheetId="49" state="hidden" r:id="rId28"/>
    <sheet name="Week_32" sheetId="48" r:id="rId29"/>
    <sheet name="WeekLog_31" sheetId="47" state="hidden" r:id="rId30"/>
    <sheet name="Week_31" sheetId="46" r:id="rId31"/>
    <sheet name="WeekLog_30" sheetId="41" state="hidden" r:id="rId32"/>
    <sheet name="Week_30" sheetId="40" r:id="rId33"/>
    <sheet name="Week_29" sheetId="34" r:id="rId34"/>
    <sheet name="Week_28" sheetId="33" r:id="rId35"/>
    <sheet name="Week_27" sheetId="32" r:id="rId36"/>
    <sheet name="Week_26" sheetId="31" r:id="rId37"/>
    <sheet name="WeekLog_29" sheetId="35" state="hidden" r:id="rId38"/>
    <sheet name="WeekLog_28" sheetId="36" state="hidden" r:id="rId39"/>
    <sheet name="WeekLog_27" sheetId="37" state="hidden" r:id="rId40"/>
    <sheet name="WeekLog_26" sheetId="38" state="hidden" r:id="rId41"/>
    <sheet name="PieChartData" sheetId="29" state="hidden" r:id="rId42"/>
    <sheet name="MonthReportCSE" sheetId="2" r:id="rId43"/>
    <sheet name="MonthCSE_8" sheetId="54" r:id="rId44"/>
    <sheet name="MonthLogCSE_8" sheetId="45" state="hidden" r:id="rId45"/>
    <sheet name="MonthCSE_7" sheetId="44" r:id="rId46"/>
    <sheet name="MonthReportMSE" sheetId="7" r:id="rId47"/>
    <sheet name="MonthMSE_7" sheetId="42" r:id="rId48"/>
    <sheet name="MonthMSE_8" sheetId="52" r:id="rId49"/>
    <sheet name="yrCount" sheetId="55" r:id="rId50"/>
    <sheet name="MonthLogMSE_8" sheetId="43" state="hidden" r:id="rId51"/>
    <sheet name="YearReportCSE" sheetId="3" r:id="rId52"/>
    <sheet name="YearReportMSE" sheetId="8" r:id="rId53"/>
    <sheet name="MBS" sheetId="14" state="hidden" r:id="rId54"/>
    <sheet name="BackupData" sheetId="22" state="hidden" r:id="rId55"/>
  </sheets>
  <definedNames>
    <definedName name="DATA1">'MSE PM'!$A$5:$A$6</definedName>
    <definedName name="DATA2">'MSE PM'!$B$5:$B$6</definedName>
    <definedName name="DATA3">'MSE PM'!$C$5:$C$6</definedName>
    <definedName name="DATA4">'MSE PM'!$D$5:$D$6</definedName>
    <definedName name="DATA5">'MSE PM'!$E$5:$E$6</definedName>
    <definedName name="DATA6">'MSE PM'!$F$5:$F$6</definedName>
    <definedName name="DATA7">'MSE PM'!$G$5:$G$6</definedName>
    <definedName name="TEST0">'MSE PM'!$A$5:$G$6</definedName>
    <definedName name="TESTKEYS">'MSE PM'!$A$5:$A$6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12" l="1"/>
  <c r="J3" i="13"/>
  <c r="I20" i="15"/>
  <c r="H4" i="29"/>
  <c r="H3" i="29"/>
  <c r="H2" i="29"/>
  <c r="D2" i="29"/>
  <c r="D4" i="29"/>
  <c r="D3" i="29"/>
  <c r="F7" i="29"/>
  <c r="F6" i="29"/>
  <c r="F5" i="29"/>
  <c r="F4" i="29"/>
  <c r="F3" i="29"/>
  <c r="F2" i="29"/>
  <c r="B2" i="29"/>
  <c r="B5" i="29"/>
  <c r="B7" i="29"/>
  <c r="B6" i="29"/>
  <c r="B4" i="29"/>
  <c r="B3" i="29"/>
  <c r="T17" i="15" l="1"/>
  <c r="R20" i="15" s="1"/>
</calcChain>
</file>

<file path=xl/sharedStrings.xml><?xml version="1.0" encoding="utf-8"?>
<sst xmlns="http://schemas.openxmlformats.org/spreadsheetml/2006/main" count="7612" uniqueCount="438">
  <si>
    <t>Team Composition</t>
  </si>
  <si>
    <t>Weekly Trg Stats</t>
  </si>
  <si>
    <t>Weekly Specifications</t>
  </si>
  <si>
    <t>ATP'd</t>
  </si>
  <si>
    <t>MSE</t>
  </si>
  <si>
    <t>PM</t>
  </si>
  <si>
    <t>PM MBS</t>
  </si>
  <si>
    <t>CM</t>
  </si>
  <si>
    <t xml:space="preserve">Planned Total </t>
  </si>
  <si>
    <t xml:space="preserve">Planned Actual Total </t>
  </si>
  <si>
    <t xml:space="preserve">Actual Total </t>
  </si>
  <si>
    <t>Hours</t>
  </si>
  <si>
    <t>Number of Routines</t>
  </si>
  <si>
    <t>CSE</t>
  </si>
  <si>
    <t>Boards</t>
  </si>
  <si>
    <t>Walkthroughs</t>
  </si>
  <si>
    <t>NETP OJPR</t>
  </si>
  <si>
    <t>Week #</t>
  </si>
  <si>
    <t>Workdays in week</t>
  </si>
  <si>
    <t>MS pers overall</t>
  </si>
  <si>
    <t>MSE trainees</t>
  </si>
  <si>
    <t>POSTED</t>
  </si>
  <si>
    <t>Admin</t>
  </si>
  <si>
    <t>Maintenance Summary</t>
  </si>
  <si>
    <t>Ship</t>
  </si>
  <si>
    <t>PM routines</t>
  </si>
  <si>
    <t xml:space="preserve">MBS routines </t>
  </si>
  <si>
    <t>CM routines</t>
  </si>
  <si>
    <t>PM hours</t>
  </si>
  <si>
    <t>CM hours</t>
  </si>
  <si>
    <t>MBS hours</t>
  </si>
  <si>
    <t>CHA</t>
  </si>
  <si>
    <t>STJ</t>
  </si>
  <si>
    <t>FRE</t>
  </si>
  <si>
    <t>MON</t>
  </si>
  <si>
    <t>HAL</t>
  </si>
  <si>
    <t>TOR</t>
  </si>
  <si>
    <t>VDQ</t>
  </si>
  <si>
    <t>HDW</t>
  </si>
  <si>
    <t>MAR</t>
  </si>
  <si>
    <t>MAX</t>
  </si>
  <si>
    <t>RNDS OJPR</t>
  </si>
  <si>
    <t>EQ1 OJPR</t>
  </si>
  <si>
    <t>MAINT OJPR</t>
  </si>
  <si>
    <t>EQ2 OJPR</t>
  </si>
  <si>
    <t>MCR OJPR</t>
  </si>
  <si>
    <t>Roundsperson</t>
  </si>
  <si>
    <t>Name</t>
  </si>
  <si>
    <t>Rnds</t>
  </si>
  <si>
    <t>Signatures</t>
  </si>
  <si>
    <t>New</t>
  </si>
  <si>
    <t>Maint</t>
  </si>
  <si>
    <t>EWK</t>
  </si>
  <si>
    <t>SEWK</t>
  </si>
  <si>
    <t>MCR</t>
  </si>
  <si>
    <t>NETP</t>
  </si>
  <si>
    <t>EQ1</t>
  </si>
  <si>
    <t>EQ2</t>
  </si>
  <si>
    <r>
      <rPr>
        <b/>
        <sz val="28"/>
        <color theme="0"/>
        <rFont val="Calibri"/>
        <family val="2"/>
        <scheme val="minor"/>
      </rPr>
      <t>WEEKLY</t>
    </r>
    <r>
      <rPr>
        <sz val="28"/>
        <color theme="0"/>
        <rFont val="Calibri"/>
        <family val="2"/>
        <scheme val="minor"/>
      </rPr>
      <t xml:space="preserve"> AVERAGES</t>
    </r>
  </si>
  <si>
    <r>
      <rPr>
        <b/>
        <sz val="36"/>
        <color theme="0"/>
        <rFont val="Calibri"/>
        <family val="2"/>
        <scheme val="minor"/>
      </rPr>
      <t>MARTECH</t>
    </r>
    <r>
      <rPr>
        <sz val="36"/>
        <color theme="0"/>
        <rFont val="Calibri"/>
        <family val="2"/>
        <scheme val="minor"/>
      </rPr>
      <t xml:space="preserve"> SUMMARY</t>
    </r>
  </si>
  <si>
    <r>
      <rPr>
        <b/>
        <sz val="36"/>
        <color theme="0"/>
        <rFont val="Calibri"/>
        <family val="2"/>
        <scheme val="minor"/>
      </rPr>
      <t>WENG</t>
    </r>
    <r>
      <rPr>
        <sz val="36"/>
        <color theme="0"/>
        <rFont val="Calibri"/>
        <family val="2"/>
        <scheme val="minor"/>
      </rPr>
      <t xml:space="preserve"> SUMMARY</t>
    </r>
  </si>
  <si>
    <r>
      <rPr>
        <b/>
        <sz val="28"/>
        <color theme="0"/>
        <rFont val="Calibri"/>
        <family val="2"/>
        <scheme val="minor"/>
      </rPr>
      <t>MONTHLY</t>
    </r>
    <r>
      <rPr>
        <sz val="28"/>
        <color theme="0"/>
        <rFont val="Calibri"/>
        <family val="2"/>
        <scheme val="minor"/>
      </rPr>
      <t xml:space="preserve"> AVERAGES</t>
    </r>
  </si>
  <si>
    <r>
      <rPr>
        <b/>
        <sz val="28"/>
        <color theme="0"/>
        <rFont val="Calibri"/>
        <family val="2"/>
        <scheme val="minor"/>
      </rPr>
      <t>YEAR</t>
    </r>
    <r>
      <rPr>
        <sz val="28"/>
        <color theme="0"/>
        <rFont val="Calibri"/>
        <family val="2"/>
        <scheme val="minor"/>
      </rPr>
      <t xml:space="preserve"> AGGREGATE</t>
    </r>
  </si>
  <si>
    <r>
      <rPr>
        <b/>
        <sz val="36"/>
        <color theme="0"/>
        <rFont val="Calibri"/>
        <family val="2"/>
        <scheme val="minor"/>
      </rPr>
      <t>MARTECH</t>
    </r>
    <r>
      <rPr>
        <sz val="36"/>
        <color theme="0"/>
        <rFont val="Calibri"/>
        <family val="2"/>
        <scheme val="minor"/>
      </rPr>
      <t xml:space="preserve"> SUMMARY - Year Aggregate</t>
    </r>
  </si>
  <si>
    <r>
      <rPr>
        <b/>
        <sz val="36"/>
        <color theme="0"/>
        <rFont val="Calibri"/>
        <family val="2"/>
        <scheme val="minor"/>
      </rPr>
      <t>WENG</t>
    </r>
    <r>
      <rPr>
        <sz val="36"/>
        <color theme="0"/>
        <rFont val="Calibri"/>
        <family val="2"/>
        <scheme val="minor"/>
      </rPr>
      <t xml:space="preserve"> SUMMARY - Monthly Average</t>
    </r>
  </si>
  <si>
    <t>Maintenance Plant Name</t>
  </si>
  <si>
    <t>ORDER</t>
  </si>
  <si>
    <t xml:space="preserve">NOTIFICATION </t>
  </si>
  <si>
    <t>Description</t>
  </si>
  <si>
    <t>Main WorkCtr</t>
  </si>
  <si>
    <t>Cycle text</t>
  </si>
  <si>
    <t>PM planned hours</t>
  </si>
  <si>
    <t>PM actual hours</t>
  </si>
  <si>
    <t>Number of people</t>
  </si>
  <si>
    <t>Total Maintenance hrs</t>
  </si>
  <si>
    <t>MBS Y/N</t>
  </si>
  <si>
    <r>
      <rPr>
        <b/>
        <sz val="28"/>
        <color theme="0"/>
        <rFont val="Calibri"/>
        <family val="2"/>
        <scheme val="minor"/>
      </rPr>
      <t xml:space="preserve">PREVENTATIVE </t>
    </r>
    <r>
      <rPr>
        <sz val="28"/>
        <color theme="0"/>
        <rFont val="Calibri"/>
        <family val="2"/>
        <scheme val="minor"/>
      </rPr>
      <t>MAINTENANCE</t>
    </r>
  </si>
  <si>
    <t>DRMIS data</t>
  </si>
  <si>
    <t>Manual input</t>
  </si>
  <si>
    <t>QUICK RESPONSE #</t>
  </si>
  <si>
    <t>SHIP</t>
  </si>
  <si>
    <t>SYSTEM</t>
  </si>
  <si>
    <t>EQUIPMENT</t>
  </si>
  <si>
    <t>DEFECT</t>
  </si>
  <si>
    <t>NUMBER OF PEOPLE</t>
  </si>
  <si>
    <t>ACTUAL HOURS (STRAIGHT TIME)</t>
  </si>
  <si>
    <t>TOTAL MAINTENANCE HOURS</t>
  </si>
  <si>
    <r>
      <rPr>
        <b/>
        <sz val="28"/>
        <color theme="0"/>
        <rFont val="Calibri"/>
        <family val="2"/>
        <scheme val="minor"/>
      </rPr>
      <t>CORRECTIVE</t>
    </r>
    <r>
      <rPr>
        <sz val="28"/>
        <color theme="0"/>
        <rFont val="Calibri"/>
        <family val="2"/>
        <scheme val="minor"/>
      </rPr>
      <t xml:space="preserve"> MAINTENANCE</t>
    </r>
  </si>
  <si>
    <t>MATERIEL BASELINE STANDARD</t>
  </si>
  <si>
    <t>Cycle Text</t>
  </si>
  <si>
    <t xml:space="preserve">Monday </t>
  </si>
  <si>
    <t>Tuesday</t>
  </si>
  <si>
    <t>Wednesday</t>
  </si>
  <si>
    <t>Thursday</t>
  </si>
  <si>
    <t>Friday</t>
  </si>
  <si>
    <t>1200-1300</t>
  </si>
  <si>
    <t xml:space="preserve">Lunch </t>
  </si>
  <si>
    <t>Training</t>
  </si>
  <si>
    <t>1500-1600</t>
  </si>
  <si>
    <t>Gym Time</t>
  </si>
  <si>
    <t>Secure</t>
  </si>
  <si>
    <t>Off</t>
  </si>
  <si>
    <t>PLANNED ACTIVITIES</t>
  </si>
  <si>
    <t>Time</t>
  </si>
  <si>
    <r>
      <rPr>
        <b/>
        <sz val="28"/>
        <color theme="0"/>
        <rFont val="Calibri"/>
        <family val="2"/>
        <scheme val="minor"/>
      </rPr>
      <t>WORKBOOK</t>
    </r>
    <r>
      <rPr>
        <sz val="28"/>
        <color theme="0"/>
        <rFont val="Calibri"/>
        <family val="2"/>
        <scheme val="minor"/>
      </rPr>
      <t xml:space="preserve"> CONTROLS</t>
    </r>
  </si>
  <si>
    <r>
      <rPr>
        <b/>
        <sz val="14"/>
        <color theme="0"/>
        <rFont val="Calibri"/>
        <family val="2"/>
        <scheme val="minor"/>
      </rPr>
      <t xml:space="preserve">MSE </t>
    </r>
    <r>
      <rPr>
        <sz val="14"/>
        <color theme="0"/>
        <rFont val="Calibri"/>
        <family val="2"/>
        <scheme val="minor"/>
      </rPr>
      <t xml:space="preserve">GENERATE REPORTS </t>
    </r>
  </si>
  <si>
    <r>
      <rPr>
        <b/>
        <sz val="14"/>
        <color theme="0"/>
        <rFont val="Calibri"/>
        <family val="2"/>
        <scheme val="minor"/>
      </rPr>
      <t xml:space="preserve">MSE/ CSE </t>
    </r>
    <r>
      <rPr>
        <sz val="14"/>
        <color theme="0"/>
        <rFont val="Calibri"/>
        <family val="2"/>
        <scheme val="minor"/>
      </rPr>
      <t xml:space="preserve">GENERATE REPORTS </t>
    </r>
  </si>
  <si>
    <r>
      <rPr>
        <b/>
        <sz val="14"/>
        <color theme="0"/>
        <rFont val="Calibri"/>
        <family val="2"/>
        <scheme val="minor"/>
      </rPr>
      <t>CSE</t>
    </r>
    <r>
      <rPr>
        <sz val="14"/>
        <color theme="0"/>
        <rFont val="Calibri"/>
        <family val="2"/>
        <scheme val="minor"/>
      </rPr>
      <t xml:space="preserve"> GENERATE REPORTS</t>
    </r>
  </si>
  <si>
    <t>Control</t>
  </si>
  <si>
    <r>
      <rPr>
        <b/>
        <sz val="14"/>
        <color theme="0"/>
        <rFont val="Calibri"/>
        <family val="2"/>
        <scheme val="minor"/>
      </rPr>
      <t xml:space="preserve">MSE </t>
    </r>
    <r>
      <rPr>
        <sz val="14"/>
        <color theme="0"/>
        <rFont val="Calibri"/>
        <family val="2"/>
        <scheme val="minor"/>
      </rPr>
      <t>EXPORT REPORTS</t>
    </r>
  </si>
  <si>
    <r>
      <rPr>
        <b/>
        <sz val="14"/>
        <color theme="0"/>
        <rFont val="Calibri"/>
        <family val="2"/>
        <scheme val="minor"/>
      </rPr>
      <t xml:space="preserve">MSE </t>
    </r>
    <r>
      <rPr>
        <sz val="14"/>
        <color theme="0"/>
        <rFont val="Calibri"/>
        <family val="2"/>
        <scheme val="minor"/>
      </rPr>
      <t>CLEAR DATA</t>
    </r>
  </si>
  <si>
    <r>
      <rPr>
        <b/>
        <sz val="14"/>
        <color theme="0"/>
        <rFont val="Calibri"/>
        <family val="2"/>
        <scheme val="minor"/>
      </rPr>
      <t xml:space="preserve">MSE/ CSE </t>
    </r>
    <r>
      <rPr>
        <sz val="14"/>
        <color theme="0"/>
        <rFont val="Calibri"/>
        <family val="2"/>
        <scheme val="minor"/>
      </rPr>
      <t>EXPORT REPORTS</t>
    </r>
  </si>
  <si>
    <r>
      <rPr>
        <b/>
        <sz val="14"/>
        <color theme="0"/>
        <rFont val="Calibri"/>
        <family val="2"/>
        <scheme val="minor"/>
      </rPr>
      <t xml:space="preserve">MSE/ CSE </t>
    </r>
    <r>
      <rPr>
        <sz val="14"/>
        <color theme="0"/>
        <rFont val="Calibri"/>
        <family val="2"/>
        <scheme val="minor"/>
      </rPr>
      <t>CLEAR DATA</t>
    </r>
  </si>
  <si>
    <r>
      <rPr>
        <b/>
        <sz val="14"/>
        <color theme="0"/>
        <rFont val="Calibri"/>
        <family val="2"/>
        <scheme val="minor"/>
      </rPr>
      <t>CSE</t>
    </r>
    <r>
      <rPr>
        <sz val="14"/>
        <color theme="0"/>
        <rFont val="Calibri"/>
        <family val="2"/>
        <scheme val="minor"/>
      </rPr>
      <t xml:space="preserve"> EXPORT REPORTS</t>
    </r>
  </si>
  <si>
    <r>
      <rPr>
        <b/>
        <sz val="14"/>
        <color theme="0"/>
        <rFont val="Calibri"/>
        <family val="2"/>
        <scheme val="minor"/>
      </rPr>
      <t>CSE</t>
    </r>
    <r>
      <rPr>
        <sz val="14"/>
        <color theme="0"/>
        <rFont val="Calibri"/>
        <family val="2"/>
        <scheme val="minor"/>
      </rPr>
      <t xml:space="preserve"> CLEAR DATA</t>
    </r>
  </si>
  <si>
    <t>Read data from the four most recent Week_## sheets and the MSE portion of the DataInput sheet to generate a monthly report written to MonthlyReportMSE sheet</t>
  </si>
  <si>
    <t>Read data from the four most recent Week_## sheets and the CSE portion of the DataInput sheet to generate a monthly report written to MonthlyReportCSE sheet</t>
  </si>
  <si>
    <t>Read data from the twelve most recent MonthMSE_## sheets (or 52 most recent Week_## sheets) to generate a yearly report written to YearlyReportMSE sheet</t>
  </si>
  <si>
    <t>Read data from the twelve most recent MonthCSE_## sheets (or 52 most recent Week_## sheets) to generate a yearly report written to YearlyReportCSE sheet</t>
  </si>
  <si>
    <t>Read data from MSE CM, MSE PM, CSE CM, CSE PM, CalendarPlan and MBS sheets to generate a weekly maintenance report written to WeekReport sheet</t>
  </si>
  <si>
    <t>Clear data from MonthReportMSE sheet</t>
  </si>
  <si>
    <t>Clear data from YearReportMSE sheet</t>
  </si>
  <si>
    <t>Clear all data from MSE PM and MSE CM sheets</t>
  </si>
  <si>
    <t>Clear data from MonthReportCSE sheet</t>
  </si>
  <si>
    <t>Clear data from YearReportCSE sheet</t>
  </si>
  <si>
    <t>Clear all data from CSE PM and CSE CM sheets</t>
  </si>
  <si>
    <t xml:space="preserve">Clear data from WeekReport sheet </t>
  </si>
  <si>
    <t>12 Month</t>
  </si>
  <si>
    <t>24 Month</t>
  </si>
  <si>
    <t>6 Month</t>
  </si>
  <si>
    <t>3 Month</t>
  </si>
  <si>
    <t>Derived from manual input</t>
  </si>
  <si>
    <t>Gym time</t>
  </si>
  <si>
    <t>C-28-402-000/NY-001</t>
  </si>
  <si>
    <t>C-24-554-000/NY-001</t>
  </si>
  <si>
    <t>C-24-678-A00/NY-001</t>
  </si>
  <si>
    <t>C-25-511-000/NY-001</t>
  </si>
  <si>
    <t>15 Month</t>
  </si>
  <si>
    <t>C-25-549-000/NY-001</t>
  </si>
  <si>
    <t>1 Month</t>
  </si>
  <si>
    <t>C-24-545-B00/NY-001</t>
  </si>
  <si>
    <t>C-24-545-B01/NY-001</t>
  </si>
  <si>
    <t>C-24-545-D00/NY-001</t>
  </si>
  <si>
    <t>C-24-560-000/NY-001</t>
  </si>
  <si>
    <t>C-24-561-000/NY-001</t>
  </si>
  <si>
    <t>C-25-551-000/NY-002</t>
  </si>
  <si>
    <t>C-27-783-000/NY-001</t>
  </si>
  <si>
    <t>C-27-898-000/NY-001</t>
  </si>
  <si>
    <t>C-27-899-000/NY-001</t>
  </si>
  <si>
    <t>2000 H</t>
  </si>
  <si>
    <t>C-27-886-000/NY-001</t>
  </si>
  <si>
    <t>C-27-A40-000/NY-001</t>
  </si>
  <si>
    <t>C-26-411-000/NY-001</t>
  </si>
  <si>
    <t>500 H</t>
  </si>
  <si>
    <t>1000 H</t>
  </si>
  <si>
    <t>2500 H</t>
  </si>
  <si>
    <t>C-38-355-A00/NY-001</t>
  </si>
  <si>
    <t>C-38-355-B00/NY-001</t>
  </si>
  <si>
    <t>C-38-355-C00/NY-001</t>
  </si>
  <si>
    <t>C-38-355-D00/NY-001</t>
  </si>
  <si>
    <t>C-38-355-E00/NY-001</t>
  </si>
  <si>
    <t>C-38-355-F00/NY-001</t>
  </si>
  <si>
    <t>C-28-398-000/NY-002</t>
  </si>
  <si>
    <t>C-03-010-106/NY-090</t>
  </si>
  <si>
    <t>C-03-010-106/NY-091</t>
  </si>
  <si>
    <t>C-27-880-000/NY-001</t>
  </si>
  <si>
    <t>C-27-880-000/NY-002</t>
  </si>
  <si>
    <t>C-28-270-000/NY-001</t>
  </si>
  <si>
    <t>C-28-270-000/NY-002</t>
  </si>
  <si>
    <t>C-28-225-000/NY-001</t>
  </si>
  <si>
    <t>C-97-010-006/NY-009</t>
  </si>
  <si>
    <t>C-97-322-000/NY-001</t>
  </si>
  <si>
    <t>C-97-323-000/NY-001</t>
  </si>
  <si>
    <t>C-97-325-000/NY-001</t>
  </si>
  <si>
    <t>C-97-346-000/NY-002</t>
  </si>
  <si>
    <t>C-97-381-000/NY-001</t>
  </si>
  <si>
    <t>C-27-876-000/NY-002</t>
  </si>
  <si>
    <t>C-27-877-D00/NY-001</t>
  </si>
  <si>
    <t>C-27-A99-A00/NY-002</t>
  </si>
  <si>
    <t>C-27-791-000/NY-001</t>
  </si>
  <si>
    <t>C-27-791-000/NY-002</t>
  </si>
  <si>
    <t>C-97-234-000/NY-001</t>
  </si>
  <si>
    <t>C-97-010-006/NY-004</t>
  </si>
  <si>
    <t>C-97-112-000/NY-001</t>
  </si>
  <si>
    <t>C-97-221-000/NY-001</t>
  </si>
  <si>
    <t>C-97-380-000/NY-001</t>
  </si>
  <si>
    <t>60 Month</t>
  </si>
  <si>
    <t>C-97-380-AA0/NY-001</t>
  </si>
  <si>
    <t>50 H</t>
  </si>
  <si>
    <t>C-97-380-AC0/NY-001</t>
  </si>
  <si>
    <t>C-97-383-000/NY-001</t>
  </si>
  <si>
    <t>C-23-343-000/NY-003</t>
  </si>
  <si>
    <t>20 H</t>
  </si>
  <si>
    <t>200 H</t>
  </si>
  <si>
    <t>C-28-400-000/NY-001</t>
  </si>
  <si>
    <t>C-97-317-000/NY-001</t>
  </si>
  <si>
    <t>Backup MBS</t>
  </si>
  <si>
    <t>N/A</t>
  </si>
  <si>
    <t>Contains directions to generate WeekReport, MonthReportCSE, MonthReportMSE, YearReportCSE and YearReportMSE along with the input data required for each report to be completely generated.</t>
  </si>
  <si>
    <t xml:space="preserve">Sheet colour:
Yellow - </t>
  </si>
  <si>
    <t>Yellow</t>
  </si>
  <si>
    <t>Blue</t>
  </si>
  <si>
    <t>Green</t>
  </si>
  <si>
    <t>Orange</t>
  </si>
  <si>
    <t>Grey</t>
  </si>
  <si>
    <t xml:space="preserve">
Indicates sheets that require user input to generate week/ month/ year reports
Indicates sheets that contain information specific to MSE
Indicates sheets that contain information specific to CSE
Indicates sheets that contain information specific to both MSE and CSE
Indicates sheets that are necessary for functionality and utility of the workbook </t>
  </si>
  <si>
    <t>Contains all current corrective maintenance tasks that need/ could be performed within the current week. Data can be copied into the sheet such that each row is a new entry for a different CM item with all columns filled. These entries are used directly to compute the data in the planned totals columns for hours and routines in the weekly report. The logged averages will be used to in the month report and year report.  This sheet requires user input every week</t>
  </si>
  <si>
    <t>Contains two calendar templates on for MSE and on for CSE. These are used to plan the current weeks activities and will be used directly in the week report while the logged averages will be used in the month report and year report. Each time slot cell has a drop down menu to select from a list of possible activities that will take place during the time allotted. This sheet requires user input every week</t>
  </si>
  <si>
    <t>Contains all current preventative maintenance tasks that need/ could be performed within the current week.  Data can be copied/ written into the sheet such that each row is a new entry for a different PM item with all columns filled. Data can be copied from DRMIS into cells A-G which fall under the header DRMIS input. Cells H and I share the header 'Manual Input' and require the user to provide the corresponding information. Cells J and K can be left empty and will be filled when the week report is generated by pressing the 'Generate weekly report' button in the controls sheet. These entries are used directly to compute the data in the planned totals columns for hours and routines in the weekly report. The logged averages will be used to in the month report and year report.This sheet requires user input every week.</t>
  </si>
  <si>
    <t>Contains all information regarding MARTECH and WENG progress with the Miscellaneous section holding the weekly team composition and team targets information. All sections in this sheet will require the user to provide the necessary inputs. The Miscellaneous section of the sheet should be updated weekly as this data will be used in the weekly reports with the averages used in the month reports and year reports. The MARTECH and WENG section can be updated either weekly or monthly as the data will only be used in the month report with the averages being used in the year report. NOTE that the data in the MARTECH and WENG sections should always be the current totals for that point in the month (data is not saved each week for these sections)</t>
  </si>
  <si>
    <t>Contains all buttons to perform all necessary actions within the workbook along with a brief description about what the underlying subroutine call will execute.</t>
  </si>
  <si>
    <r>
      <rPr>
        <b/>
        <sz val="16"/>
        <color theme="0"/>
        <rFont val="Calibri"/>
        <family val="2"/>
        <scheme val="minor"/>
      </rPr>
      <t>General</t>
    </r>
    <r>
      <rPr>
        <sz val="16"/>
        <color theme="0"/>
        <rFont val="Calibri"/>
        <family val="2"/>
        <scheme val="minor"/>
      </rPr>
      <t xml:space="preserve"> Information </t>
    </r>
  </si>
  <si>
    <r>
      <rPr>
        <b/>
        <sz val="16"/>
        <color theme="0"/>
        <rFont val="Calibri"/>
        <family val="2"/>
        <scheme val="minor"/>
      </rPr>
      <t>Instructions</t>
    </r>
    <r>
      <rPr>
        <sz val="16"/>
        <color theme="0"/>
        <rFont val="Calibri"/>
        <family val="2"/>
        <scheme val="minor"/>
      </rPr>
      <t xml:space="preserve"> sheet</t>
    </r>
  </si>
  <si>
    <r>
      <rPr>
        <b/>
        <sz val="16"/>
        <color theme="0"/>
        <rFont val="Calibri"/>
        <family val="2"/>
        <scheme val="minor"/>
      </rPr>
      <t>CalendarInput</t>
    </r>
    <r>
      <rPr>
        <sz val="16"/>
        <color theme="0"/>
        <rFont val="Calibri"/>
        <family val="2"/>
        <scheme val="minor"/>
      </rPr>
      <t xml:space="preserve"> sheet</t>
    </r>
  </si>
  <si>
    <r>
      <rPr>
        <b/>
        <sz val="16"/>
        <color theme="0"/>
        <rFont val="Calibri"/>
        <family val="2"/>
        <scheme val="minor"/>
      </rPr>
      <t>CSE PM</t>
    </r>
    <r>
      <rPr>
        <sz val="16"/>
        <color theme="0"/>
        <rFont val="Calibri"/>
        <family val="2"/>
        <scheme val="minor"/>
      </rPr>
      <t xml:space="preserve"> sheet</t>
    </r>
  </si>
  <si>
    <r>
      <rPr>
        <b/>
        <sz val="16"/>
        <color theme="0"/>
        <rFont val="Calibri"/>
        <family val="2"/>
        <scheme val="minor"/>
      </rPr>
      <t>CSE CM</t>
    </r>
    <r>
      <rPr>
        <sz val="16"/>
        <color theme="0"/>
        <rFont val="Calibri"/>
        <family val="2"/>
        <scheme val="minor"/>
      </rPr>
      <t xml:space="preserve"> sheet</t>
    </r>
  </si>
  <si>
    <r>
      <rPr>
        <b/>
        <sz val="16"/>
        <color theme="0"/>
        <rFont val="Calibri"/>
        <family val="2"/>
        <scheme val="minor"/>
      </rPr>
      <t xml:space="preserve">DataInputCSE </t>
    </r>
    <r>
      <rPr>
        <sz val="16"/>
        <color theme="0"/>
        <rFont val="Calibri"/>
        <family val="2"/>
        <scheme val="minor"/>
      </rPr>
      <t>sheet</t>
    </r>
  </si>
  <si>
    <r>
      <rPr>
        <b/>
        <sz val="16"/>
        <color theme="0"/>
        <rFont val="Calibri"/>
        <family val="2"/>
        <scheme val="minor"/>
      </rPr>
      <t>MSE PM</t>
    </r>
    <r>
      <rPr>
        <sz val="16"/>
        <color theme="0"/>
        <rFont val="Calibri"/>
        <family val="2"/>
        <scheme val="minor"/>
      </rPr>
      <t xml:space="preserve"> sheet</t>
    </r>
  </si>
  <si>
    <r>
      <rPr>
        <b/>
        <sz val="16"/>
        <color theme="0"/>
        <rFont val="Calibri"/>
        <family val="2"/>
        <scheme val="minor"/>
      </rPr>
      <t>MSE CM</t>
    </r>
    <r>
      <rPr>
        <sz val="16"/>
        <color theme="0"/>
        <rFont val="Calibri"/>
        <family val="2"/>
        <scheme val="minor"/>
      </rPr>
      <t xml:space="preserve"> sheet</t>
    </r>
  </si>
  <si>
    <r>
      <rPr>
        <b/>
        <sz val="16"/>
        <color theme="0"/>
        <rFont val="Calibri"/>
        <family val="2"/>
        <scheme val="minor"/>
      </rPr>
      <t>DataInputMSE</t>
    </r>
    <r>
      <rPr>
        <sz val="16"/>
        <color theme="0"/>
        <rFont val="Calibri"/>
        <family val="2"/>
        <scheme val="minor"/>
      </rPr>
      <t xml:space="preserve"> sheet</t>
    </r>
  </si>
  <si>
    <r>
      <rPr>
        <b/>
        <sz val="16"/>
        <color theme="0"/>
        <rFont val="Calibri"/>
        <family val="2"/>
        <scheme val="minor"/>
      </rPr>
      <t>Controls</t>
    </r>
    <r>
      <rPr>
        <sz val="16"/>
        <color theme="0"/>
        <rFont val="Calibri"/>
        <family val="2"/>
        <scheme val="minor"/>
      </rPr>
      <t xml:space="preserve"> sheet</t>
    </r>
  </si>
  <si>
    <r>
      <rPr>
        <b/>
        <sz val="16"/>
        <color theme="0"/>
        <rFont val="Calibri"/>
        <family val="2"/>
        <scheme val="minor"/>
      </rPr>
      <t>WeekReport</t>
    </r>
    <r>
      <rPr>
        <sz val="16"/>
        <color theme="0"/>
        <rFont val="Calibri"/>
        <family val="2"/>
        <scheme val="minor"/>
      </rPr>
      <t xml:space="preserve"> sheet</t>
    </r>
  </si>
  <si>
    <r>
      <rPr>
        <b/>
        <sz val="16"/>
        <color theme="0"/>
        <rFont val="Calibri"/>
        <family val="2"/>
        <scheme val="minor"/>
      </rPr>
      <t>MonthReportCSE</t>
    </r>
    <r>
      <rPr>
        <sz val="16"/>
        <color theme="0"/>
        <rFont val="Calibri"/>
        <family val="2"/>
        <scheme val="minor"/>
      </rPr>
      <t xml:space="preserve"> sheet</t>
    </r>
  </si>
  <si>
    <r>
      <rPr>
        <b/>
        <sz val="16"/>
        <color theme="0"/>
        <rFont val="Calibri"/>
        <family val="2"/>
        <scheme val="minor"/>
      </rPr>
      <t>MonthReportMSE</t>
    </r>
    <r>
      <rPr>
        <sz val="16"/>
        <color theme="0"/>
        <rFont val="Calibri"/>
        <family val="2"/>
        <scheme val="minor"/>
      </rPr>
      <t xml:space="preserve"> sheet</t>
    </r>
  </si>
  <si>
    <r>
      <rPr>
        <b/>
        <sz val="16"/>
        <color theme="0"/>
        <rFont val="Calibri"/>
        <family val="2"/>
        <scheme val="minor"/>
      </rPr>
      <t>YearReportCSE</t>
    </r>
    <r>
      <rPr>
        <sz val="16"/>
        <color theme="0"/>
        <rFont val="Calibri"/>
        <family val="2"/>
        <scheme val="minor"/>
      </rPr>
      <t xml:space="preserve"> sheet</t>
    </r>
  </si>
  <si>
    <r>
      <rPr>
        <b/>
        <sz val="16"/>
        <color theme="0"/>
        <rFont val="Calibri"/>
        <family val="2"/>
        <scheme val="minor"/>
      </rPr>
      <t>YearReportMSE</t>
    </r>
    <r>
      <rPr>
        <sz val="16"/>
        <color theme="0"/>
        <rFont val="Calibri"/>
        <family val="2"/>
        <scheme val="minor"/>
      </rPr>
      <t xml:space="preserve"> sheet</t>
    </r>
  </si>
  <si>
    <r>
      <rPr>
        <b/>
        <sz val="16"/>
        <color theme="0"/>
        <rFont val="Calibri"/>
        <family val="2"/>
        <scheme val="minor"/>
      </rPr>
      <t>MBS</t>
    </r>
    <r>
      <rPr>
        <sz val="16"/>
        <color theme="0"/>
        <rFont val="Calibri"/>
        <family val="2"/>
        <scheme val="minor"/>
      </rPr>
      <t xml:space="preserve"> sheet</t>
    </r>
  </si>
  <si>
    <t>Contains all information relevant to the week report. 'Planned' totals refer to DRMIS estimates, 'Planned actual' totals refer to estimates based off the input in the 'CalendarPlan' sheet, and 'Actual' totals refer to estimates based off manual input on what was actually completed that week. Instructions on how to generate and use this sheet as well as the sheets required for proper generation will be included in the 'Instructions' sheet</t>
  </si>
  <si>
    <t>Contains all information relevant to the month report, a combination of monthly reporting metrics and averages of weekly reporting metrics. 'Planned' totals refer to DRMIS estimates, 'Planned actual' totals refer to estimates based off the input in the 'CalendarPlan' sheet, and 'Actual' totals refer to estimates based off manual input on what was actually completed that week. Instructions on how to generate and use this sheet as well as the sheets required for proper generation will be included in the 'Instructions' sheet</t>
  </si>
  <si>
    <t>Contains all information relevant to the year report, a combination of averages of monthly reporting metrics and averages of weekly reporting metrics. 'Planned' totals refer to DRMIS estimates, 'Planned actual' totals refer to estimates based off the input in the 'CalendarPlan' sheet, and 'Actual' totals refer to estimates based off manual input on what was actually completed that week. Instructions on how to generate and use this sheet as well as the sheets required for proper generation will be included in the 'Instructions' sheet</t>
  </si>
  <si>
    <t>CSE PM</t>
  </si>
  <si>
    <t>MSE PM</t>
  </si>
  <si>
    <t xml:space="preserve">CSE CM </t>
  </si>
  <si>
    <t>MSE CM</t>
  </si>
  <si>
    <t>DataInputCSE</t>
  </si>
  <si>
    <t>DataInputMSE</t>
  </si>
  <si>
    <t>CalendarInput</t>
  </si>
  <si>
    <t>Week_1</t>
  </si>
  <si>
    <t>Week_2</t>
  </si>
  <si>
    <t>Week_3</t>
  </si>
  <si>
    <t>Week_4</t>
  </si>
  <si>
    <t>MonthMSE_1</t>
  </si>
  <si>
    <t>MonthMSE_2</t>
  </si>
  <si>
    <t>MonthMSE_3</t>
  </si>
  <si>
    <t>MonthMSE_4</t>
  </si>
  <si>
    <t>MonthMSE_5</t>
  </si>
  <si>
    <t>MonthMSE_6</t>
  </si>
  <si>
    <t>MonthMSE_7</t>
  </si>
  <si>
    <t>MonthMSE_8</t>
  </si>
  <si>
    <t>MonthMSE_9</t>
  </si>
  <si>
    <t>MonthMSE_10</t>
  </si>
  <si>
    <t>MonthMSE_11</t>
  </si>
  <si>
    <t>MonthMSE_12</t>
  </si>
  <si>
    <r>
      <rPr>
        <b/>
        <sz val="16"/>
        <color theme="0"/>
        <rFont val="Calibri"/>
        <family val="2"/>
        <scheme val="minor"/>
      </rPr>
      <t>Weekly Report</t>
    </r>
    <r>
      <rPr>
        <sz val="16"/>
        <color theme="0"/>
        <rFont val="Calibri"/>
        <family val="2"/>
        <scheme val="minor"/>
      </rPr>
      <t xml:space="preserve"> Generation</t>
    </r>
  </si>
  <si>
    <r>
      <rPr>
        <b/>
        <sz val="16"/>
        <color theme="0"/>
        <rFont val="Calibri"/>
        <family val="2"/>
        <scheme val="minor"/>
      </rPr>
      <t>MSE Monthly Report</t>
    </r>
    <r>
      <rPr>
        <sz val="16"/>
        <color theme="0"/>
        <rFont val="Calibri"/>
        <family val="2"/>
        <scheme val="minor"/>
      </rPr>
      <t xml:space="preserve"> Generation</t>
    </r>
  </si>
  <si>
    <r>
      <rPr>
        <b/>
        <sz val="16"/>
        <color theme="0"/>
        <rFont val="Calibri"/>
        <family val="2"/>
        <scheme val="minor"/>
      </rPr>
      <t>CSE Monthly Report</t>
    </r>
    <r>
      <rPr>
        <sz val="16"/>
        <color theme="0"/>
        <rFont val="Calibri"/>
        <family val="2"/>
        <scheme val="minor"/>
      </rPr>
      <t xml:space="preserve"> Generation</t>
    </r>
  </si>
  <si>
    <r>
      <rPr>
        <b/>
        <sz val="16"/>
        <color theme="0"/>
        <rFont val="Calibri"/>
        <family val="2"/>
        <scheme val="minor"/>
      </rPr>
      <t>MSE Yearly Report</t>
    </r>
    <r>
      <rPr>
        <sz val="16"/>
        <color theme="0"/>
        <rFont val="Calibri"/>
        <family val="2"/>
        <scheme val="minor"/>
      </rPr>
      <t xml:space="preserve"> Generation</t>
    </r>
  </si>
  <si>
    <r>
      <rPr>
        <b/>
        <sz val="16"/>
        <color theme="0"/>
        <rFont val="Calibri"/>
        <family val="2"/>
        <scheme val="minor"/>
      </rPr>
      <t>CSE Yearly Report</t>
    </r>
    <r>
      <rPr>
        <sz val="16"/>
        <color theme="0"/>
        <rFont val="Calibri"/>
        <family val="2"/>
        <scheme val="minor"/>
      </rPr>
      <t xml:space="preserve"> Generation</t>
    </r>
  </si>
  <si>
    <t>SPECS.</t>
  </si>
  <si>
    <t>Team Event</t>
  </si>
  <si>
    <r>
      <rPr>
        <b/>
        <sz val="14"/>
        <color theme="0"/>
        <rFont val="Calibri"/>
        <family val="2"/>
        <scheme val="minor"/>
      </rPr>
      <t xml:space="preserve">MSE </t>
    </r>
    <r>
      <rPr>
        <sz val="14"/>
        <color theme="0"/>
        <rFont val="Calibri"/>
        <family val="2"/>
        <scheme val="minor"/>
      </rPr>
      <t>LOG DATA</t>
    </r>
  </si>
  <si>
    <r>
      <rPr>
        <b/>
        <sz val="14"/>
        <color theme="0"/>
        <rFont val="Calibri"/>
        <family val="2"/>
        <scheme val="minor"/>
      </rPr>
      <t>CSE</t>
    </r>
    <r>
      <rPr>
        <sz val="14"/>
        <color theme="0"/>
        <rFont val="Calibri"/>
        <family val="2"/>
        <scheme val="minor"/>
      </rPr>
      <t xml:space="preserve"> LOG DATA</t>
    </r>
  </si>
  <si>
    <t>Planned Activity Hours / Person</t>
  </si>
  <si>
    <t>Maintenance</t>
  </si>
  <si>
    <t xml:space="preserve">Team Training </t>
  </si>
  <si>
    <t xml:space="preserve">Team Total Planned Activity Hours </t>
  </si>
  <si>
    <t>NET OJPR</t>
  </si>
  <si>
    <t>Posted</t>
  </si>
  <si>
    <t>Attach Posted</t>
  </si>
  <si>
    <t>Hours for Week ---</t>
  </si>
  <si>
    <t>REPORTING WEEK SUMMARY for 2023</t>
  </si>
  <si>
    <t>WEEK #</t>
  </si>
  <si>
    <t>Date range</t>
  </si>
  <si>
    <t>2-6 January</t>
  </si>
  <si>
    <t xml:space="preserve">9-13 January </t>
  </si>
  <si>
    <t>16-20 January</t>
  </si>
  <si>
    <t>23-27 January</t>
  </si>
  <si>
    <t>30 Jan - 3 February</t>
  </si>
  <si>
    <t>6-10 February</t>
  </si>
  <si>
    <t>13-17 February</t>
  </si>
  <si>
    <t>20-24 Feb</t>
  </si>
  <si>
    <t>27 Feb- 3 March</t>
  </si>
  <si>
    <t>6-10 March</t>
  </si>
  <si>
    <t>13-17 March</t>
  </si>
  <si>
    <t>20-24 March</t>
  </si>
  <si>
    <t>27-31 March</t>
  </si>
  <si>
    <t>3-7 April</t>
  </si>
  <si>
    <t>10-14 April</t>
  </si>
  <si>
    <t>17-21April</t>
  </si>
  <si>
    <t>24-28 April</t>
  </si>
  <si>
    <t>2-6 May</t>
  </si>
  <si>
    <t>9-13 May</t>
  </si>
  <si>
    <t>16-20 May</t>
  </si>
  <si>
    <t>22-26 May</t>
  </si>
  <si>
    <t>29 May- 2 June</t>
  </si>
  <si>
    <t>5-9 June</t>
  </si>
  <si>
    <t>12-16 June</t>
  </si>
  <si>
    <t>19-23 June</t>
  </si>
  <si>
    <t>26 June-30 June</t>
  </si>
  <si>
    <t>3-7 July</t>
  </si>
  <si>
    <t>10-14 July</t>
  </si>
  <si>
    <t>17-21 July</t>
  </si>
  <si>
    <t>24-28 July</t>
  </si>
  <si>
    <t>31 July -4 Aug</t>
  </si>
  <si>
    <t>7-11 Aug</t>
  </si>
  <si>
    <t>14-18 Aug</t>
  </si>
  <si>
    <t>21-25 Aug</t>
  </si>
  <si>
    <t>28 Aug -1 Sept</t>
  </si>
  <si>
    <t>4-9 Sept</t>
  </si>
  <si>
    <t>11- 15 Sept</t>
  </si>
  <si>
    <t>18-22 Sept</t>
  </si>
  <si>
    <t>25-29 Sept</t>
  </si>
  <si>
    <t>2-6 Oct</t>
  </si>
  <si>
    <t>9-13 Oct</t>
  </si>
  <si>
    <t>16-20 Oct</t>
  </si>
  <si>
    <t>23-27 Oct</t>
  </si>
  <si>
    <t>30 Oct -3 Nov</t>
  </si>
  <si>
    <t>6-10 Nov</t>
  </si>
  <si>
    <t>13-17 Nov</t>
  </si>
  <si>
    <t>20-24 Nov</t>
  </si>
  <si>
    <t>27 Nov -1 Dec</t>
  </si>
  <si>
    <t>4-8 Dec</t>
  </si>
  <si>
    <t>11-15 Dec</t>
  </si>
  <si>
    <t>18-22 Dec</t>
  </si>
  <si>
    <t>25-29 Dec</t>
  </si>
  <si>
    <t xml:space="preserve">Week Report for Week </t>
  </si>
  <si>
    <t>#</t>
  </si>
  <si>
    <t>Date</t>
  </si>
  <si>
    <t>General Maint.</t>
  </si>
  <si>
    <t xml:space="preserve">PM </t>
  </si>
  <si>
    <t xml:space="preserve">DataInputMSE </t>
  </si>
  <si>
    <t>Year</t>
  </si>
  <si>
    <t># day workers</t>
  </si>
  <si>
    <t>Maint. Split</t>
  </si>
  <si>
    <t>MSE Plan</t>
  </si>
  <si>
    <t>MSE Actual</t>
  </si>
  <si>
    <t>CSE Plan</t>
  </si>
  <si>
    <t>CSE Actual</t>
  </si>
  <si>
    <t>Miantenance</t>
  </si>
  <si>
    <t>Team training</t>
  </si>
  <si>
    <t>Contains all MBS information about the Halifax class of vessels. This sheet will likely not need editing (and be hidden) until more ships are added to this class or reporting is required of an additional class of vessels</t>
  </si>
  <si>
    <t>Logs MSE PM data to another MSE_PM_wk_## sheet</t>
  </si>
  <si>
    <t xml:space="preserve">Export WeekReport sheet to another Week_## sheet </t>
  </si>
  <si>
    <t xml:space="preserve">Export MonthReportMSE sheet to another MonthMSE_## </t>
  </si>
  <si>
    <t xml:space="preserve">Export YearReportMSE sheet to another YearMSE_## </t>
  </si>
  <si>
    <t xml:space="preserve">Export MonthReportCSE sheet to another MonthCSE_## </t>
  </si>
  <si>
    <t xml:space="preserve">Export YearReportCSE sheet to another YearCSE_## sheet </t>
  </si>
  <si>
    <t>Logs MSE PM data to another MSE_CM_wk_## sheet</t>
  </si>
  <si>
    <t>Logs CSE PM data to another MSE_PM_wk_## sheet</t>
  </si>
  <si>
    <r>
      <rPr>
        <b/>
        <sz val="28"/>
        <color theme="0"/>
        <rFont val="Calibri"/>
        <family val="2"/>
        <scheme val="minor"/>
      </rPr>
      <t>MONTH</t>
    </r>
    <r>
      <rPr>
        <sz val="28"/>
        <color theme="0"/>
        <rFont val="Calibri"/>
        <family val="2"/>
        <scheme val="minor"/>
      </rPr>
      <t xml:space="preserve"> AGGREGATE</t>
    </r>
  </si>
  <si>
    <t>Clear data from the input boxes in the CalendarPlan sheet from both the MSE and CSE sections</t>
  </si>
  <si>
    <t>NOTE: WEEKLY REPORT FUNCTIONALITY IS ALL THAT IS WORKING AT THE MOMENT BUT IT SHOULD BE COMPLETELY WORKING</t>
  </si>
  <si>
    <t>Send any comments and suggestions to me at Oscar.brown@forces.gc.ca</t>
  </si>
  <si>
    <t>CSE trainees</t>
  </si>
  <si>
    <t>CS pers overall</t>
  </si>
  <si>
    <t>Charts</t>
  </si>
  <si>
    <t>Contains Pie Charts about planned time spent and actual time spent for MSE and CSE teams</t>
  </si>
  <si>
    <t>Clear all data from MBS sheet (NOT FUNCTIONAL)</t>
  </si>
  <si>
    <t xml:space="preserve">REPORT INPUTS:
</t>
  </si>
  <si>
    <t>CM percent</t>
  </si>
  <si>
    <t>PM percent</t>
  </si>
  <si>
    <r>
      <rPr>
        <b/>
        <u/>
        <sz val="11"/>
        <color theme="1"/>
        <rFont val="Calibri"/>
        <family val="2"/>
        <scheme val="minor"/>
      </rPr>
      <t>1.</t>
    </r>
    <r>
      <rPr>
        <sz val="11"/>
        <color theme="1"/>
        <rFont val="Calibri"/>
        <family val="2"/>
        <scheme val="minor"/>
      </rPr>
      <t xml:space="preserve"> Clear all pre-existing data from the previous Week Report and each of the specified CSE or MSE input sheets by using the buttons in the </t>
    </r>
    <r>
      <rPr>
        <b/>
        <sz val="11"/>
        <color theme="1"/>
        <rFont val="Calibri"/>
        <family val="2"/>
        <scheme val="minor"/>
      </rPr>
      <t>CONTROLS</t>
    </r>
    <r>
      <rPr>
        <sz val="11"/>
        <color theme="1"/>
        <rFont val="Calibri"/>
        <family val="2"/>
        <scheme val="minor"/>
      </rPr>
      <t xml:space="preserve"> SHEET:  'Clear weekly MSE/ CSE calendar input data', OR 'Clear CSE input data', 'Clear MSE input data', and 'Clear Weekly MSE/ CSE Report data'. This prepares the workbook for another use and can should be done before report generation. 
</t>
    </r>
    <r>
      <rPr>
        <b/>
        <u/>
        <sz val="11"/>
        <color theme="1"/>
        <rFont val="Calibri"/>
        <family val="2"/>
        <scheme val="minor"/>
      </rPr>
      <t>2.</t>
    </r>
    <r>
      <rPr>
        <sz val="11"/>
        <color theme="1"/>
        <rFont val="Calibri"/>
        <family val="2"/>
        <scheme val="minor"/>
      </rPr>
      <t xml:space="preserve"> Copy and paste from DRMIS the PM data for columns A:G in the </t>
    </r>
    <r>
      <rPr>
        <b/>
        <sz val="11"/>
        <color theme="1"/>
        <rFont val="Calibri"/>
        <family val="2"/>
        <scheme val="minor"/>
      </rPr>
      <t>MSE PM</t>
    </r>
    <r>
      <rPr>
        <sz val="11"/>
        <color theme="1"/>
        <rFont val="Calibri"/>
        <family val="2"/>
        <scheme val="minor"/>
      </rPr>
      <t xml:space="preserve"> or </t>
    </r>
    <r>
      <rPr>
        <b/>
        <sz val="11"/>
        <color theme="1"/>
        <rFont val="Calibri"/>
        <family val="2"/>
        <scheme val="minor"/>
      </rPr>
      <t>CSE PM</t>
    </r>
    <r>
      <rPr>
        <sz val="11"/>
        <color theme="1"/>
        <rFont val="Calibri"/>
        <family val="2"/>
        <scheme val="minor"/>
      </rPr>
      <t xml:space="preserve"> sheet for all work done during the current week. Then enter the corresponding 'Maintenance Plant Name' which is the HCM ship worked on, and 'Number of People' which is the number of people who worked on this ship in columns H and I under the 'Manual Input' header. All information in each line entry line should pertain to a single routine performed during the week on a single vessel. (Columns J and K are computed upon report generation).
</t>
    </r>
    <r>
      <rPr>
        <b/>
        <u/>
        <sz val="11"/>
        <color theme="1"/>
        <rFont val="Calibri"/>
        <family val="2"/>
        <scheme val="minor"/>
      </rPr>
      <t>3.</t>
    </r>
    <r>
      <rPr>
        <sz val="11"/>
        <color theme="1"/>
        <rFont val="Calibri"/>
        <family val="2"/>
        <scheme val="minor"/>
      </rPr>
      <t xml:space="preserve"> Manually fill out the </t>
    </r>
    <r>
      <rPr>
        <b/>
        <sz val="11"/>
        <color theme="1"/>
        <rFont val="Calibri"/>
        <family val="2"/>
        <scheme val="minor"/>
      </rPr>
      <t>MSE CM</t>
    </r>
    <r>
      <rPr>
        <sz val="11"/>
        <color theme="1"/>
        <rFont val="Calibri"/>
        <family val="2"/>
        <scheme val="minor"/>
      </rPr>
      <t xml:space="preserve"> or </t>
    </r>
    <r>
      <rPr>
        <b/>
        <sz val="11"/>
        <color theme="1"/>
        <rFont val="Calibri"/>
        <family val="2"/>
        <scheme val="minor"/>
      </rPr>
      <t>CSE CM</t>
    </r>
    <r>
      <rPr>
        <sz val="11"/>
        <color theme="1"/>
        <rFont val="Calibri"/>
        <family val="2"/>
        <scheme val="minor"/>
      </rPr>
      <t xml:space="preserve"> sheet with all information in each line entry pertaining to a single corrective maintenance routine performed during the week on a single vessel. 
</t>
    </r>
    <r>
      <rPr>
        <b/>
        <u/>
        <sz val="11"/>
        <color theme="1"/>
        <rFont val="Calibri"/>
        <family val="2"/>
        <scheme val="minor"/>
      </rPr>
      <t>4.</t>
    </r>
    <r>
      <rPr>
        <sz val="11"/>
        <color theme="1"/>
        <rFont val="Calibri"/>
        <family val="2"/>
        <scheme val="minor"/>
      </rPr>
      <t xml:space="preserve"> Manually fill out the 'SPECS.' section in the </t>
    </r>
    <r>
      <rPr>
        <b/>
        <sz val="11"/>
        <color theme="1"/>
        <rFont val="Calibri"/>
        <family val="2"/>
        <scheme val="minor"/>
      </rPr>
      <t>CalendarPlan</t>
    </r>
    <r>
      <rPr>
        <sz val="11"/>
        <color theme="1"/>
        <rFont val="Calibri"/>
        <family val="2"/>
        <scheme val="minor"/>
      </rPr>
      <t xml:space="preserve"> sheet for MSE or CSE - NOTE that the 'PLANNED ACTIVITIES' section with the planning calendar and number of people working during the day, plus, if there is after hours work, the number of evening hours and number of people working during the evening should be filled out.  This can be done at the beginning of the week so to be used as a planning tool for the team.  Otherwise, this information will be entered at the end of the week and is used in the weekly report inputs to automatically calculate the sections planned maintenance hours. Also note that the week # box in the Weekly Specifications section should correspond to the # associated with the week’s dates as noted in the “DATES” worksheet – eg. Week #27 = 3-7 July 2023. For the Maintenance split cells specify the precent split between PM and CM in decimal format – eg. 0.2, 0.8.  **It is important to fill out the number of people for both day and evening workers as the 'Actual Planned Total Hours' are derived from these numbers on WeekReport. 
</t>
    </r>
    <r>
      <rPr>
        <b/>
        <u/>
        <sz val="11"/>
        <color theme="1"/>
        <rFont val="Calibri"/>
        <family val="2"/>
        <scheme val="minor"/>
      </rPr>
      <t>5.</t>
    </r>
    <r>
      <rPr>
        <sz val="11"/>
        <color theme="1"/>
        <rFont val="Calibri"/>
        <family val="2"/>
        <scheme val="minor"/>
      </rPr>
      <t xml:space="preserve"> Save this workbook so the other SMT section (MSE or CSE) can enter their data - NOTE it is perfectly fine to generate a weekly report with only one sections data to check on aggregated data - however, this workbook is intended to generate a weekly report for command with both teams sets of data included.
</t>
    </r>
    <r>
      <rPr>
        <b/>
        <u/>
        <sz val="11"/>
        <color theme="1"/>
        <rFont val="Calibri"/>
        <family val="2"/>
        <scheme val="minor"/>
      </rPr>
      <t>6.</t>
    </r>
    <r>
      <rPr>
        <sz val="11"/>
        <color theme="1"/>
        <rFont val="Calibri"/>
        <family val="2"/>
        <scheme val="minor"/>
      </rPr>
      <t xml:space="preserve"> In the </t>
    </r>
    <r>
      <rPr>
        <b/>
        <sz val="11"/>
        <color theme="1"/>
        <rFont val="Calibri"/>
        <family val="2"/>
        <scheme val="minor"/>
      </rPr>
      <t>Controls</t>
    </r>
    <r>
      <rPr>
        <sz val="11"/>
        <color theme="1"/>
        <rFont val="Calibri"/>
        <family val="2"/>
        <scheme val="minor"/>
      </rPr>
      <t xml:space="preserve"> sheet in the 'MSE/ CSE Generate Reports' section select the 'Generate MSE/ CSE weekly report' button to generate the weekly report which can be viewed in the </t>
    </r>
    <r>
      <rPr>
        <b/>
        <sz val="11"/>
        <color theme="1"/>
        <rFont val="Calibri"/>
        <family val="2"/>
        <scheme val="minor"/>
      </rPr>
      <t>WeekReport</t>
    </r>
    <r>
      <rPr>
        <sz val="11"/>
        <color theme="1"/>
        <rFont val="Calibri"/>
        <family val="2"/>
        <scheme val="minor"/>
      </rPr>
      <t xml:space="preserve"> sheet on this action has been executed.
</t>
    </r>
    <r>
      <rPr>
        <b/>
        <u/>
        <sz val="11"/>
        <color theme="1"/>
        <rFont val="Calibri"/>
        <family val="2"/>
        <scheme val="minor"/>
      </rPr>
      <t>7.</t>
    </r>
    <r>
      <rPr>
        <sz val="11"/>
        <color theme="1"/>
        <rFont val="Calibri"/>
        <family val="2"/>
        <scheme val="minor"/>
      </rPr>
      <t xml:space="preserve"> Once the </t>
    </r>
    <r>
      <rPr>
        <b/>
        <sz val="11"/>
        <color theme="1"/>
        <rFont val="Calibri"/>
        <family val="2"/>
        <scheme val="minor"/>
      </rPr>
      <t>WeekReport</t>
    </r>
    <r>
      <rPr>
        <sz val="11"/>
        <color theme="1"/>
        <rFont val="Calibri"/>
        <family val="2"/>
        <scheme val="minor"/>
      </rPr>
      <t xml:space="preserve"> sheet has been reviewed by SMT command as correct, in the </t>
    </r>
    <r>
      <rPr>
        <b/>
        <sz val="11"/>
        <color theme="1"/>
        <rFont val="Calibri"/>
        <family val="2"/>
        <scheme val="minor"/>
      </rPr>
      <t xml:space="preserve">Controls </t>
    </r>
    <r>
      <rPr>
        <sz val="11"/>
        <color theme="1"/>
        <rFont val="Calibri"/>
        <family val="2"/>
        <scheme val="minor"/>
      </rPr>
      <t xml:space="preserve">sheet, under the 'MSE/ CSE Export Reports' section, select the 'Export weekly MSE/ CSE report to new sheet' button to export this version of the </t>
    </r>
    <r>
      <rPr>
        <b/>
        <sz val="11"/>
        <color theme="1"/>
        <rFont val="Calibri"/>
        <family val="2"/>
        <scheme val="minor"/>
      </rPr>
      <t>WeekReport</t>
    </r>
    <r>
      <rPr>
        <sz val="11"/>
        <color theme="1"/>
        <rFont val="Calibri"/>
        <family val="2"/>
        <scheme val="minor"/>
      </rPr>
      <t xml:space="preserve"> sheet to another sheet at the end of this workbook dated with the current week.
</t>
    </r>
    <r>
      <rPr>
        <b/>
        <u/>
        <sz val="11"/>
        <color theme="1"/>
        <rFont val="Calibri"/>
        <family val="2"/>
        <scheme val="minor"/>
      </rPr>
      <t>8.</t>
    </r>
    <r>
      <rPr>
        <sz val="11"/>
        <color theme="1"/>
        <rFont val="Calibri"/>
        <family val="2"/>
        <scheme val="minor"/>
      </rPr>
      <t xml:space="preserve"> In the </t>
    </r>
    <r>
      <rPr>
        <b/>
        <sz val="11"/>
        <color theme="1"/>
        <rFont val="Calibri"/>
        <family val="2"/>
        <scheme val="minor"/>
      </rPr>
      <t>Controls</t>
    </r>
    <r>
      <rPr>
        <sz val="11"/>
        <color theme="1"/>
        <rFont val="Calibri"/>
        <family val="2"/>
        <scheme val="minor"/>
      </rPr>
      <t xml:space="preserve"> sheet, in the 'MSE ' section and the 'CSE ' section select the buttons 'Export MSE PM data', 'Export MSE CM data', 'Export CSE PM data', and 'Export CSE CM data' to export these versions of the MSE PM, MSE CM, CSE PM, and CSE CM data sheets to four new sheets at the end of this workbook dated with the current week.
</t>
    </r>
  </si>
  <si>
    <t>Aggregates</t>
  </si>
  <si>
    <t>Averages</t>
  </si>
  <si>
    <r>
      <rPr>
        <b/>
        <sz val="24"/>
        <color theme="0"/>
        <rFont val="Calibri"/>
        <family val="2"/>
        <scheme val="minor"/>
      </rPr>
      <t xml:space="preserve">MONTH </t>
    </r>
    <r>
      <rPr>
        <sz val="24"/>
        <color theme="0"/>
        <rFont val="Calibri"/>
        <family val="2"/>
        <scheme val="minor"/>
      </rPr>
      <t>METRCIS</t>
    </r>
  </si>
  <si>
    <r>
      <t xml:space="preserve">WEEK </t>
    </r>
    <r>
      <rPr>
        <sz val="24"/>
        <color theme="0"/>
        <rFont val="Calibri"/>
        <family val="2"/>
        <scheme val="minor"/>
      </rPr>
      <t>METRCIS</t>
    </r>
  </si>
  <si>
    <t>0800-0900</t>
  </si>
  <si>
    <t>0900-1000</t>
  </si>
  <si>
    <t>1000-1100</t>
  </si>
  <si>
    <t>1100-1200</t>
  </si>
  <si>
    <t>1300-1400</t>
  </si>
  <si>
    <t>1400-1500</t>
  </si>
  <si>
    <t>After hours</t>
  </si>
  <si>
    <t># After hours</t>
  </si>
  <si>
    <t># Workers after hours</t>
  </si>
  <si>
    <t>Monthly Report for Month</t>
  </si>
  <si>
    <t>Maintenance hours</t>
  </si>
  <si>
    <t>Yearly Report for Year</t>
  </si>
  <si>
    <r>
      <rPr>
        <b/>
        <sz val="36"/>
        <color theme="0"/>
        <rFont val="Calibri"/>
        <family val="2"/>
        <scheme val="minor"/>
      </rPr>
      <t>MARTECH</t>
    </r>
    <r>
      <rPr>
        <sz val="36"/>
        <color theme="0"/>
        <rFont val="Calibri"/>
        <family val="2"/>
        <scheme val="minor"/>
      </rPr>
      <t xml:space="preserve"> SUMMARY - Monthly Aggregate</t>
    </r>
  </si>
  <si>
    <r>
      <rPr>
        <b/>
        <sz val="36"/>
        <color theme="0"/>
        <rFont val="Calibri"/>
        <family val="2"/>
        <scheme val="minor"/>
      </rPr>
      <t>WENG</t>
    </r>
    <r>
      <rPr>
        <sz val="36"/>
        <color theme="0"/>
        <rFont val="Calibri"/>
        <family val="2"/>
        <scheme val="minor"/>
      </rPr>
      <t xml:space="preserve"> SUMMARY - Year Average</t>
    </r>
  </si>
  <si>
    <r>
      <rPr>
        <b/>
        <sz val="36"/>
        <color theme="0"/>
        <rFont val="Calibri"/>
        <family val="2"/>
        <scheme val="minor"/>
      </rPr>
      <t>WENG</t>
    </r>
    <r>
      <rPr>
        <sz val="36"/>
        <color theme="0"/>
        <rFont val="Calibri"/>
        <family val="2"/>
        <scheme val="minor"/>
      </rPr>
      <t xml:space="preserve"> SUMMARY -  Year Average</t>
    </r>
  </si>
  <si>
    <t>Month #</t>
  </si>
  <si>
    <t xml:space="preserve">Month </t>
  </si>
  <si>
    <t>January</t>
  </si>
  <si>
    <t>February</t>
  </si>
  <si>
    <t>March</t>
  </si>
  <si>
    <t>April</t>
  </si>
  <si>
    <t>May</t>
  </si>
  <si>
    <t>June</t>
  </si>
  <si>
    <t>July</t>
  </si>
  <si>
    <t>August</t>
  </si>
  <si>
    <t>September</t>
  </si>
  <si>
    <t>October</t>
  </si>
  <si>
    <t>November</t>
  </si>
  <si>
    <t>December</t>
  </si>
  <si>
    <t xml:space="preserve"> Maintenance Hours</t>
  </si>
  <si>
    <t>Number of Maintenance Routines</t>
  </si>
  <si>
    <t>Other</t>
  </si>
  <si>
    <t>C-51-577-000/NY-001 AN/SRR-505</t>
  </si>
  <si>
    <t>WENG_C</t>
  </si>
  <si>
    <t>3M</t>
  </si>
  <si>
    <t>C-60-236-000/NY-001 COMBAT MANAGEMNT SYS</t>
  </si>
  <si>
    <t>WENG_R</t>
  </si>
  <si>
    <t>C-27-876-000/NY-001 MTR DRIVE FIRE PP</t>
  </si>
  <si>
    <t>MSD_STR</t>
  </si>
  <si>
    <t>C-97-323-000/NY-001 AQUEOUS</t>
  </si>
  <si>
    <t>1M</t>
  </si>
  <si>
    <t>C-77-304-000/NY-001 CBRN FILTER UNITS</t>
  </si>
  <si>
    <t>C-25-548-000/NY-001 FO BOOST/TRANS PP</t>
  </si>
  <si>
    <t>MSD_PRO</t>
  </si>
  <si>
    <t>C-24-678-A00/NY-001 ANTI-ICING SYSTEM</t>
  </si>
  <si>
    <t>6M</t>
  </si>
  <si>
    <t>C-03-010-106/NY-091 SIMPLEX STRAINER</t>
  </si>
  <si>
    <t>C-03-010-106/NY-090 DUPLEX STRAINER</t>
  </si>
  <si>
    <t>C-24-302-000/NY-001 MAIN GEARING ASSY</t>
  </si>
  <si>
    <t>C-25-540-000/NY-001 HAND OP PP14GPM</t>
  </si>
  <si>
    <t>MSD_AUX</t>
  </si>
  <si>
    <t>12M</t>
  </si>
  <si>
    <t>18M</t>
  </si>
  <si>
    <t>C-51-958-000/NY-001 FBB-500</t>
  </si>
  <si>
    <t>C-51-921-000/NY-001 RT-1829(P)/S UHF TER</t>
  </si>
  <si>
    <t>C-51-406-000/NY-001 R508L/SRR-504(V)</t>
  </si>
  <si>
    <t>N</t>
  </si>
  <si>
    <t>Y</t>
  </si>
  <si>
    <t>PM (non MBS)</t>
  </si>
  <si>
    <t>PM total</t>
  </si>
  <si>
    <t>Planned Total (DRMIS)</t>
  </si>
  <si>
    <t>Actual Total (Completed)</t>
  </si>
  <si>
    <t>Planned Actual Total (Calendar) hrs/CSE team</t>
  </si>
  <si>
    <t>Planned Total (DRMIS)        hrs/person</t>
  </si>
  <si>
    <t>Maintenance Summary (Completed)</t>
  </si>
  <si>
    <t>Actual Total (Completed)               hrs/CSE team</t>
  </si>
  <si>
    <t>Planned Total (DRMIS)            hrs/person</t>
  </si>
  <si>
    <t>Planned Actual Total (Calendar)              hrs/MSE team</t>
  </si>
  <si>
    <t>Actual Total (Completed)              hrs/MSE teaam</t>
  </si>
  <si>
    <t>MSE M ct</t>
  </si>
  <si>
    <t>CSE M ct</t>
  </si>
  <si>
    <t>yr MSE Countyr CSE 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</si>
</sst>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_([$$-409]* #,##0.00_);_([$$-409]* \(#,##0.00\);_([$$-409]* &quot;-&quot;??_);_(@_)"/>
    <numFmt numFmtId="166" formatCode="#,##0.000"/>
  </numFmts>
  <fonts count="25" x14ac:knownFonts="1">
    <font>
      <sz val="11"/>
      <color theme="1"/>
      <name val="Calibri"/>
      <family val="2"/>
      <scheme val="minor"/>
    </font>
    <font>
      <b/>
      <sz val="11"/>
      <color theme="0"/>
      <name val="Calibri"/>
      <family val="2"/>
      <scheme val="minor"/>
    </font>
    <font>
      <sz val="11"/>
      <color theme="0"/>
      <name val="Calibri"/>
      <family val="2"/>
      <scheme val="minor"/>
    </font>
    <font>
      <sz val="28"/>
      <color theme="1"/>
      <name val="Calibri"/>
      <family val="2"/>
      <scheme val="minor"/>
    </font>
    <font>
      <sz val="28"/>
      <color theme="0"/>
      <name val="Calibri"/>
      <family val="2"/>
      <scheme val="minor"/>
    </font>
    <font>
      <sz val="36"/>
      <color theme="0"/>
      <name val="Calibri"/>
      <family val="2"/>
      <scheme val="minor"/>
    </font>
    <font>
      <b/>
      <sz val="28"/>
      <color theme="0"/>
      <name val="Calibri"/>
      <family val="2"/>
      <scheme val="minor"/>
    </font>
    <font>
      <b/>
      <sz val="36"/>
      <color theme="0"/>
      <name val="Calibri"/>
      <family val="2"/>
      <scheme val="minor"/>
    </font>
    <font>
      <sz val="14"/>
      <color theme="0"/>
      <name val="Calibri"/>
      <family val="2"/>
      <scheme val="minor"/>
    </font>
    <font>
      <b/>
      <sz val="14"/>
      <color theme="0"/>
      <name val="Calibri"/>
      <family val="2"/>
      <scheme val="minor"/>
    </font>
    <font>
      <sz val="11"/>
      <name val="Calibri"/>
      <family val="2"/>
      <scheme val="minor"/>
    </font>
    <font>
      <sz val="11"/>
      <color indexed="8"/>
      <name val="Calibri"/>
      <family val="2"/>
    </font>
    <font>
      <sz val="12"/>
      <color theme="1"/>
      <name val="Times New Roman"/>
      <family val="1"/>
    </font>
    <font>
      <sz val="11"/>
      <color rgb="FF000000"/>
      <name val="Calibri"/>
      <family val="2"/>
    </font>
    <font>
      <sz val="11"/>
      <color rgb="FF000000"/>
      <name val="Calibri"/>
      <family val="2"/>
      <scheme val="minor"/>
    </font>
    <font>
      <b/>
      <sz val="11"/>
      <color theme="1"/>
      <name val="Calibri"/>
      <family val="2"/>
      <scheme val="minor"/>
    </font>
    <font>
      <sz val="16"/>
      <color theme="1"/>
      <name val="Calibri"/>
      <family val="2"/>
      <scheme val="minor"/>
    </font>
    <font>
      <sz val="16"/>
      <color theme="0"/>
      <name val="Calibri"/>
      <family val="2"/>
      <scheme val="minor"/>
    </font>
    <font>
      <b/>
      <sz val="16"/>
      <color theme="0"/>
      <name val="Calibri"/>
      <family val="2"/>
      <scheme val="minor"/>
    </font>
    <font>
      <sz val="8"/>
      <name val="Calibri"/>
      <family val="2"/>
      <scheme val="minor"/>
    </font>
    <font>
      <b/>
      <u/>
      <sz val="11"/>
      <color theme="1"/>
      <name val="Calibri"/>
      <family val="2"/>
      <scheme val="minor"/>
    </font>
    <font>
      <b/>
      <i/>
      <u/>
      <sz val="20"/>
      <color theme="0"/>
      <name val="Calibri"/>
      <family val="2"/>
      <scheme val="minor"/>
    </font>
    <font>
      <sz val="14"/>
      <color theme="1"/>
      <name val="Calibri"/>
      <family val="2"/>
      <scheme val="minor"/>
    </font>
    <font>
      <sz val="24"/>
      <color theme="0"/>
      <name val="Calibri"/>
      <family val="2"/>
      <scheme val="minor"/>
    </font>
    <font>
      <b/>
      <sz val="24"/>
      <color theme="0"/>
      <name val="Calibri"/>
      <family val="2"/>
      <scheme val="minor"/>
    </font>
  </fonts>
  <fills count="30">
    <fill>
      <patternFill patternType="none"/>
    </fill>
    <fill>
      <patternFill patternType="gray125"/>
    </fill>
    <fill>
      <patternFill patternType="solid">
        <fgColor theme="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4"/>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6"/>
        <bgColor indexed="64"/>
      </patternFill>
    </fill>
    <fill>
      <patternFill patternType="solid">
        <fgColor theme="6" tint="0.39997558519241921"/>
        <bgColor indexed="64"/>
      </patternFill>
    </fill>
    <fill>
      <patternFill patternType="solid">
        <fgColor theme="7"/>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0000"/>
        <bgColor indexed="64"/>
      </patternFill>
    </fill>
    <fill>
      <patternFill patternType="solid">
        <fgColor theme="0"/>
        <bgColor indexed="64"/>
      </patternFill>
    </fill>
    <fill>
      <patternFill patternType="solid">
        <fgColor theme="1"/>
        <bgColor indexed="64"/>
      </patternFill>
    </fill>
  </fills>
  <borders count="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auto="1"/>
      </right>
      <top style="medium">
        <color indexed="64"/>
      </top>
      <bottom style="medium">
        <color indexed="64"/>
      </bottom>
      <diagonal/>
    </border>
    <border>
      <left/>
      <right style="thin">
        <color auto="1"/>
      </right>
      <top style="medium">
        <color indexed="64"/>
      </top>
      <bottom/>
      <diagonal/>
    </border>
    <border>
      <left style="medium">
        <color indexed="64"/>
      </left>
      <right style="thin">
        <color auto="1"/>
      </right>
      <top style="medium">
        <color indexed="64"/>
      </top>
      <bottom style="thin">
        <color indexed="64"/>
      </bottom>
      <diagonal/>
    </border>
    <border>
      <left style="medium">
        <color indexed="64"/>
      </left>
      <right style="thin">
        <color auto="1"/>
      </right>
      <top style="thin">
        <color indexed="64"/>
      </top>
      <bottom/>
      <diagonal/>
    </border>
    <border>
      <left style="medium">
        <color indexed="64"/>
      </left>
      <right style="thin">
        <color auto="1"/>
      </right>
      <top/>
      <bottom/>
      <diagonal/>
    </border>
    <border>
      <left style="medium">
        <color indexed="64"/>
      </left>
      <right style="thin">
        <color auto="1"/>
      </right>
      <top/>
      <bottom style="thin">
        <color indexed="64"/>
      </bottom>
      <diagonal/>
    </border>
    <border>
      <left style="medium">
        <color indexed="64"/>
      </left>
      <right style="thin">
        <color auto="1"/>
      </right>
      <top style="thin">
        <color indexed="64"/>
      </top>
      <bottom style="thin">
        <color indexed="64"/>
      </bottom>
      <diagonal/>
    </border>
    <border>
      <left style="medium">
        <color indexed="64"/>
      </left>
      <right style="thin">
        <color auto="1"/>
      </right>
      <top/>
      <bottom style="medium">
        <color indexed="64"/>
      </bottom>
      <diagonal/>
    </border>
    <border>
      <left/>
      <right style="thin">
        <color auto="1"/>
      </right>
      <top style="medium">
        <color indexed="64"/>
      </top>
      <bottom style="medium">
        <color indexed="64"/>
      </bottom>
      <diagonal/>
    </border>
    <border>
      <left/>
      <right style="thin">
        <color auto="1"/>
      </right>
      <top style="medium">
        <color indexed="64"/>
      </top>
      <bottom/>
      <diagonal/>
    </border>
    <border>
      <left style="medium">
        <color indexed="64"/>
      </left>
      <right style="thin">
        <color auto="1"/>
      </right>
      <top style="medium">
        <color indexed="64"/>
      </top>
      <bottom style="thin">
        <color indexed="64"/>
      </bottom>
      <diagonal/>
    </border>
    <border>
      <left style="medium">
        <color indexed="64"/>
      </left>
      <right style="thin">
        <color auto="1"/>
      </right>
      <top style="thin">
        <color indexed="64"/>
      </top>
      <bottom/>
      <diagonal/>
    </border>
    <border>
      <left style="medium">
        <color indexed="64"/>
      </left>
      <right style="thin">
        <color auto="1"/>
      </right>
      <top/>
      <bottom/>
      <diagonal/>
    </border>
    <border>
      <left style="medium">
        <color indexed="64"/>
      </left>
      <right style="thin">
        <color auto="1"/>
      </right>
      <top/>
      <bottom style="thin">
        <color indexed="64"/>
      </bottom>
      <diagonal/>
    </border>
    <border>
      <left style="medium">
        <color indexed="64"/>
      </left>
      <right style="thin">
        <color auto="1"/>
      </right>
      <top style="thin">
        <color indexed="64"/>
      </top>
      <bottom style="thin">
        <color indexed="64"/>
      </bottom>
      <diagonal/>
    </border>
    <border>
      <left style="medium">
        <color indexed="64"/>
      </left>
      <right style="thin">
        <color auto="1"/>
      </right>
      <top/>
      <bottom style="medium">
        <color indexed="64"/>
      </bottom>
      <diagonal/>
    </border>
    <border>
      <left style="medium">
        <color indexed="64"/>
      </left>
      <right/>
      <top style="thin">
        <color indexed="64"/>
      </top>
      <bottom/>
      <diagonal/>
    </border>
  </borders>
  <cellStyleXfs count="1">
    <xf numFmtId="0" fontId="0" fillId="0" borderId="0"/>
  </cellStyleXfs>
  <cellXfs count="569">
    <xf numFmtId="0" fontId="0" fillId="0" borderId="0" xfId="0"/>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5" borderId="19" xfId="0" applyFill="1" applyBorder="1"/>
    <xf numFmtId="0" fontId="0" fillId="5" borderId="20" xfId="0" applyFill="1" applyBorder="1"/>
    <xf numFmtId="0" fontId="0" fillId="5" borderId="21" xfId="0" applyFill="1" applyBorder="1"/>
    <xf numFmtId="0" fontId="0" fillId="5" borderId="28" xfId="0" applyFill="1" applyBorder="1"/>
    <xf numFmtId="0" fontId="0" fillId="5" borderId="29" xfId="0" applyFill="1" applyBorder="1"/>
    <xf numFmtId="0" fontId="0" fillId="5" borderId="30" xfId="0" applyFill="1" applyBorder="1"/>
    <xf numFmtId="0" fontId="0" fillId="7" borderId="11" xfId="0" applyFill="1" applyBorder="1" applyAlignment="1">
      <alignment horizontal="center"/>
    </xf>
    <xf numFmtId="0" fontId="0" fillId="7" borderId="13" xfId="0" applyFill="1" applyBorder="1" applyAlignment="1">
      <alignment horizontal="center"/>
    </xf>
    <xf numFmtId="0" fontId="0" fillId="7" borderId="12" xfId="0" applyFill="1" applyBorder="1" applyAlignment="1">
      <alignment horizontal="center"/>
    </xf>
    <xf numFmtId="0" fontId="0" fillId="8" borderId="15" xfId="0" applyFill="1" applyBorder="1"/>
    <xf numFmtId="0" fontId="0" fillId="8" borderId="16" xfId="0" applyFill="1" applyBorder="1"/>
    <xf numFmtId="0" fontId="0" fillId="8" borderId="17" xfId="0" applyFill="1" applyBorder="1"/>
    <xf numFmtId="0" fontId="0" fillId="9" borderId="19" xfId="0" applyFill="1" applyBorder="1"/>
    <xf numFmtId="0" fontId="0" fillId="9" borderId="20" xfId="0" applyFill="1" applyBorder="1"/>
    <xf numFmtId="0" fontId="0" fillId="9" borderId="21" xfId="0" applyFill="1" applyBorder="1"/>
    <xf numFmtId="0" fontId="0" fillId="9" borderId="28" xfId="0" applyFill="1" applyBorder="1"/>
    <xf numFmtId="0" fontId="0" fillId="9" borderId="29" xfId="0" applyFill="1" applyBorder="1"/>
    <xf numFmtId="0" fontId="0" fillId="9" borderId="30" xfId="0" applyFill="1" applyBorder="1"/>
    <xf numFmtId="0" fontId="0" fillId="9" borderId="15" xfId="0" applyFill="1" applyBorder="1"/>
    <xf numFmtId="0" fontId="0" fillId="9" borderId="16" xfId="0" applyFill="1" applyBorder="1"/>
    <xf numFmtId="0" fontId="0" fillId="9" borderId="17" xfId="0" applyFill="1" applyBorder="1"/>
    <xf numFmtId="0" fontId="0" fillId="10" borderId="0" xfId="0" applyFill="1"/>
    <xf numFmtId="0" fontId="0" fillId="10" borderId="5" xfId="0" applyFill="1" applyBorder="1"/>
    <xf numFmtId="0" fontId="0" fillId="10" borderId="7" xfId="0" applyFill="1" applyBorder="1"/>
    <xf numFmtId="0" fontId="0" fillId="10" borderId="8" xfId="0" applyFill="1" applyBorder="1"/>
    <xf numFmtId="0" fontId="0" fillId="0" borderId="22" xfId="0" applyBorder="1"/>
    <xf numFmtId="0" fontId="0" fillId="10" borderId="23" xfId="0" applyFill="1" applyBorder="1"/>
    <xf numFmtId="0" fontId="0" fillId="0" borderId="23" xfId="0" applyBorder="1"/>
    <xf numFmtId="0" fontId="0" fillId="10" borderId="24" xfId="0" applyFill="1" applyBorder="1"/>
    <xf numFmtId="0" fontId="0" fillId="2" borderId="0" xfId="0" applyFill="1"/>
    <xf numFmtId="0" fontId="3" fillId="2" borderId="5" xfId="0" applyFont="1" applyFill="1" applyBorder="1" applyAlignment="1">
      <alignment textRotation="90"/>
    </xf>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3" fillId="6" borderId="5" xfId="0" applyFont="1" applyFill="1" applyBorder="1" applyAlignment="1">
      <alignment textRotation="90"/>
    </xf>
    <xf numFmtId="0" fontId="3" fillId="6" borderId="7" xfId="0" applyFont="1" applyFill="1" applyBorder="1" applyAlignment="1">
      <alignment textRotation="90"/>
    </xf>
    <xf numFmtId="0" fontId="3" fillId="6" borderId="8" xfId="0" applyFont="1" applyFill="1" applyBorder="1" applyAlignment="1">
      <alignment textRotation="90"/>
    </xf>
    <xf numFmtId="0" fontId="0" fillId="6" borderId="4" xfId="0" applyFill="1" applyBorder="1"/>
    <xf numFmtId="0" fontId="0" fillId="6" borderId="0" xfId="0" applyFill="1"/>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3" fillId="2" borderId="7" xfId="0" applyFont="1" applyFill="1" applyBorder="1" applyAlignment="1">
      <alignment textRotation="90"/>
    </xf>
    <xf numFmtId="0" fontId="3" fillId="2" borderId="8" xfId="0" applyFont="1" applyFill="1" applyBorder="1" applyAlignment="1">
      <alignment textRotation="90"/>
    </xf>
    <xf numFmtId="0" fontId="0" fillId="0" borderId="34" xfId="0" applyBorder="1"/>
    <xf numFmtId="0" fontId="0" fillId="7" borderId="40" xfId="0" applyFill="1" applyBorder="1" applyAlignment="1">
      <alignment horizontal="center"/>
    </xf>
    <xf numFmtId="0" fontId="0" fillId="7" borderId="41" xfId="0" applyFill="1" applyBorder="1" applyAlignment="1">
      <alignment horizontal="center"/>
    </xf>
    <xf numFmtId="0" fontId="0" fillId="3" borderId="44" xfId="0" applyFill="1" applyBorder="1"/>
    <xf numFmtId="0" fontId="0" fillId="3" borderId="40" xfId="0" applyFill="1" applyBorder="1" applyAlignment="1">
      <alignment horizontal="center"/>
    </xf>
    <xf numFmtId="0" fontId="0" fillId="3" borderId="41" xfId="0" applyFill="1" applyBorder="1" applyAlignment="1">
      <alignment horizontal="center"/>
    </xf>
    <xf numFmtId="0" fontId="0" fillId="4" borderId="37" xfId="0" applyFill="1" applyBorder="1" applyAlignment="1">
      <alignment horizontal="center" vertical="center"/>
    </xf>
    <xf numFmtId="0" fontId="0" fillId="9" borderId="34" xfId="0" applyFill="1" applyBorder="1" applyAlignment="1">
      <alignment horizontal="center" vertical="center" wrapText="1"/>
    </xf>
    <xf numFmtId="0" fontId="0" fillId="9" borderId="42" xfId="0" applyFill="1" applyBorder="1" applyAlignment="1">
      <alignment horizontal="center" vertical="center" wrapText="1"/>
    </xf>
    <xf numFmtId="0" fontId="0" fillId="5" borderId="34" xfId="0" applyFill="1" applyBorder="1" applyAlignment="1">
      <alignment horizontal="center" vertical="center" wrapText="1"/>
    </xf>
    <xf numFmtId="0" fontId="0" fillId="5" borderId="42" xfId="0" applyFill="1" applyBorder="1" applyAlignment="1">
      <alignment horizontal="center" vertical="center" wrapText="1"/>
    </xf>
    <xf numFmtId="0" fontId="10" fillId="13" borderId="0" xfId="0" applyFont="1" applyFill="1"/>
    <xf numFmtId="0" fontId="10" fillId="0" borderId="0" xfId="0" applyFont="1"/>
    <xf numFmtId="0" fontId="0" fillId="7" borderId="38" xfId="0" applyFill="1" applyBorder="1"/>
    <xf numFmtId="0" fontId="0" fillId="7" borderId="42" xfId="0" applyFill="1" applyBorder="1"/>
    <xf numFmtId="0" fontId="0" fillId="9" borderId="38" xfId="0" applyFill="1" applyBorder="1"/>
    <xf numFmtId="0" fontId="0" fillId="9" borderId="18" xfId="0" applyFill="1" applyBorder="1"/>
    <xf numFmtId="0" fontId="0" fillId="16" borderId="38" xfId="0" applyFill="1" applyBorder="1"/>
    <xf numFmtId="0" fontId="0" fillId="16" borderId="42" xfId="0" applyFill="1" applyBorder="1"/>
    <xf numFmtId="0" fontId="10" fillId="17" borderId="38" xfId="0" applyFont="1" applyFill="1" applyBorder="1"/>
    <xf numFmtId="0" fontId="10" fillId="17" borderId="18" xfId="0" applyFont="1" applyFill="1" applyBorder="1"/>
    <xf numFmtId="0" fontId="10" fillId="17" borderId="19" xfId="0" applyFont="1" applyFill="1" applyBorder="1"/>
    <xf numFmtId="0" fontId="0" fillId="18" borderId="1" xfId="0" applyFill="1" applyBorder="1"/>
    <xf numFmtId="0" fontId="0" fillId="18" borderId="4" xfId="0" applyFill="1" applyBorder="1"/>
    <xf numFmtId="0" fontId="10" fillId="13" borderId="5" xfId="0" applyFont="1" applyFill="1" applyBorder="1"/>
    <xf numFmtId="0" fontId="0" fillId="18" borderId="6" xfId="0" applyFill="1" applyBorder="1"/>
    <xf numFmtId="0" fontId="10" fillId="13" borderId="7" xfId="0" applyFont="1" applyFill="1" applyBorder="1"/>
    <xf numFmtId="0" fontId="10" fillId="13" borderId="8" xfId="0" applyFont="1" applyFill="1" applyBorder="1"/>
    <xf numFmtId="0" fontId="0" fillId="12" borderId="1" xfId="0" applyFill="1" applyBorder="1"/>
    <xf numFmtId="0" fontId="0" fillId="12" borderId="4" xfId="0" applyFill="1" applyBorder="1"/>
    <xf numFmtId="0" fontId="0" fillId="12" borderId="6" xfId="0" applyFill="1" applyBorder="1"/>
    <xf numFmtId="0" fontId="0" fillId="11" borderId="1" xfId="0" applyFill="1" applyBorder="1"/>
    <xf numFmtId="0" fontId="0" fillId="11" borderId="4" xfId="0" applyFill="1" applyBorder="1"/>
    <xf numFmtId="0" fontId="0" fillId="11" borderId="6" xfId="0" applyFill="1" applyBorder="1"/>
    <xf numFmtId="0" fontId="0" fillId="3" borderId="38" xfId="0" applyFill="1" applyBorder="1"/>
    <xf numFmtId="0" fontId="0" fillId="3" borderId="42" xfId="0" applyFill="1" applyBorder="1"/>
    <xf numFmtId="0" fontId="0" fillId="5" borderId="38" xfId="0" applyFill="1" applyBorder="1"/>
    <xf numFmtId="0" fontId="0" fillId="5" borderId="18" xfId="0" applyFill="1" applyBorder="1"/>
    <xf numFmtId="0" fontId="4" fillId="0" borderId="0" xfId="0" applyFont="1" applyAlignment="1">
      <alignment textRotation="90"/>
    </xf>
    <xf numFmtId="0" fontId="1" fillId="0" borderId="0" xfId="0" applyFont="1"/>
    <xf numFmtId="0" fontId="2" fillId="0" borderId="0" xfId="0" applyFont="1" applyAlignment="1">
      <alignment textRotation="90"/>
    </xf>
    <xf numFmtId="0" fontId="5" fillId="0" borderId="0" xfId="0" applyFont="1" applyAlignment="1">
      <alignment textRotation="90"/>
    </xf>
    <xf numFmtId="0" fontId="0" fillId="5" borderId="49" xfId="0" applyFill="1" applyBorder="1"/>
    <xf numFmtId="0" fontId="0" fillId="10" borderId="26" xfId="0" applyFill="1" applyBorder="1"/>
    <xf numFmtId="0" fontId="0" fillId="10" borderId="27" xfId="0" applyFill="1" applyBorder="1"/>
    <xf numFmtId="0" fontId="0" fillId="9" borderId="49" xfId="0" applyFill="1" applyBorder="1"/>
    <xf numFmtId="49" fontId="11" fillId="0" borderId="34" xfId="0" applyNumberFormat="1" applyFont="1" applyBorder="1"/>
    <xf numFmtId="0" fontId="0" fillId="0" borderId="38" xfId="0" applyBorder="1"/>
    <xf numFmtId="0" fontId="0" fillId="0" borderId="42" xfId="0" applyBorder="1"/>
    <xf numFmtId="0" fontId="0" fillId="14" borderId="10" xfId="0" applyFill="1" applyBorder="1"/>
    <xf numFmtId="0" fontId="12" fillId="0" borderId="14" xfId="0" applyFont="1" applyBorder="1" applyAlignment="1">
      <alignment vertical="center"/>
    </xf>
    <xf numFmtId="0" fontId="0" fillId="0" borderId="9" xfId="0" applyBorder="1"/>
    <xf numFmtId="0" fontId="0" fillId="0" borderId="36" xfId="0" applyBorder="1"/>
    <xf numFmtId="0" fontId="0" fillId="26" borderId="4" xfId="0" applyFill="1" applyBorder="1" applyAlignment="1">
      <alignment vertical="top" wrapText="1"/>
    </xf>
    <xf numFmtId="0" fontId="0" fillId="6" borderId="4" xfId="0" applyFill="1" applyBorder="1" applyAlignment="1">
      <alignment vertical="top" wrapText="1"/>
    </xf>
    <xf numFmtId="0" fontId="0" fillId="2" borderId="4" xfId="0" applyFill="1" applyBorder="1" applyAlignment="1">
      <alignment vertical="top" wrapText="1"/>
    </xf>
    <xf numFmtId="0" fontId="0" fillId="13" borderId="4" xfId="0" applyFill="1" applyBorder="1" applyAlignment="1">
      <alignment vertical="top" wrapText="1"/>
    </xf>
    <xf numFmtId="0" fontId="0" fillId="21" borderId="6" xfId="0" applyFill="1" applyBorder="1" applyAlignment="1">
      <alignment vertical="top" wrapText="1"/>
    </xf>
    <xf numFmtId="0" fontId="16" fillId="24" borderId="2" xfId="0" applyFont="1" applyFill="1" applyBorder="1" applyAlignment="1">
      <alignment vertical="top" wrapText="1"/>
    </xf>
    <xf numFmtId="0" fontId="16" fillId="24" borderId="3" xfId="0" applyFont="1" applyFill="1" applyBorder="1" applyAlignment="1">
      <alignment vertical="top" wrapText="1"/>
    </xf>
    <xf numFmtId="0" fontId="0" fillId="23" borderId="4" xfId="0" applyFill="1" applyBorder="1" applyAlignment="1">
      <alignment vertical="top" wrapText="1"/>
    </xf>
    <xf numFmtId="0" fontId="0" fillId="23" borderId="34" xfId="0" applyFill="1" applyBorder="1" applyAlignment="1">
      <alignment vertical="top" wrapText="1"/>
    </xf>
    <xf numFmtId="0" fontId="0" fillId="13" borderId="34" xfId="0" applyFill="1" applyBorder="1" applyAlignment="1">
      <alignment vertical="top" wrapText="1"/>
    </xf>
    <xf numFmtId="0" fontId="0" fillId="2" borderId="34" xfId="0" applyFill="1" applyBorder="1" applyAlignment="1">
      <alignment vertical="top" wrapText="1"/>
    </xf>
    <xf numFmtId="0" fontId="0" fillId="6" borderId="34" xfId="0" applyFill="1" applyBorder="1" applyAlignment="1">
      <alignment vertical="top" wrapText="1"/>
    </xf>
    <xf numFmtId="0" fontId="0" fillId="9" borderId="45" xfId="0" applyFill="1" applyBorder="1" applyAlignment="1">
      <alignment horizontal="center" vertical="center" wrapText="1"/>
    </xf>
    <xf numFmtId="0" fontId="0" fillId="9" borderId="22" xfId="0" applyFill="1" applyBorder="1"/>
    <xf numFmtId="0" fontId="0" fillId="9" borderId="23" xfId="0" applyFill="1" applyBorder="1"/>
    <xf numFmtId="0" fontId="0" fillId="9" borderId="0" xfId="0" applyFill="1"/>
    <xf numFmtId="0" fontId="0" fillId="5" borderId="22" xfId="0" applyFill="1" applyBorder="1"/>
    <xf numFmtId="0" fontId="0" fillId="5" borderId="23" xfId="0" applyFill="1" applyBorder="1"/>
    <xf numFmtId="0" fontId="0" fillId="5" borderId="24" xfId="0" applyFill="1" applyBorder="1"/>
    <xf numFmtId="0" fontId="0" fillId="10" borderId="52" xfId="0" applyFill="1" applyBorder="1"/>
    <xf numFmtId="0" fontId="0" fillId="0" borderId="51" xfId="0" applyBorder="1"/>
    <xf numFmtId="0" fontId="0" fillId="0" borderId="47" xfId="0" applyBorder="1"/>
    <xf numFmtId="0" fontId="0" fillId="10" borderId="53" xfId="0" applyFill="1" applyBorder="1"/>
    <xf numFmtId="0" fontId="0" fillId="9" borderId="6" xfId="0" applyFill="1" applyBorder="1"/>
    <xf numFmtId="0" fontId="0" fillId="8" borderId="32" xfId="0" applyFill="1" applyBorder="1"/>
    <xf numFmtId="0" fontId="0" fillId="0" borderId="33" xfId="0" applyBorder="1"/>
    <xf numFmtId="0" fontId="0" fillId="0" borderId="55" xfId="0" applyBorder="1"/>
    <xf numFmtId="0" fontId="0" fillId="4" borderId="15" xfId="0" applyFill="1" applyBorder="1"/>
    <xf numFmtId="0" fontId="0" fillId="4" borderId="16" xfId="0" applyFill="1" applyBorder="1"/>
    <xf numFmtId="0" fontId="0" fillId="4" borderId="17" xfId="0" applyFill="1" applyBorder="1"/>
    <xf numFmtId="0" fontId="0" fillId="4" borderId="32" xfId="0" applyFill="1" applyBorder="1"/>
    <xf numFmtId="0" fontId="15" fillId="0" borderId="50" xfId="0" applyFont="1" applyBorder="1" applyAlignment="1">
      <alignment horizontal="center"/>
    </xf>
    <xf numFmtId="0" fontId="15" fillId="0" borderId="33" xfId="0" applyFont="1" applyBorder="1" applyAlignment="1">
      <alignment horizontal="center"/>
    </xf>
    <xf numFmtId="0" fontId="0" fillId="13" borderId="32" xfId="0" applyFill="1" applyBorder="1"/>
    <xf numFmtId="0" fontId="0" fillId="13" borderId="33" xfId="0" applyFill="1" applyBorder="1"/>
    <xf numFmtId="0" fontId="1" fillId="13" borderId="32" xfId="0" applyFont="1" applyFill="1" applyBorder="1"/>
    <xf numFmtId="0" fontId="1" fillId="13" borderId="32" xfId="0" applyFont="1" applyFill="1" applyBorder="1" applyAlignment="1">
      <alignment horizontal="left"/>
    </xf>
    <xf numFmtId="0" fontId="0" fillId="6" borderId="3" xfId="0" applyFill="1" applyBorder="1"/>
    <xf numFmtId="0" fontId="0" fillId="7" borderId="44" xfId="0" applyFill="1" applyBorder="1"/>
    <xf numFmtId="0" fontId="0" fillId="8" borderId="37" xfId="0" applyFill="1" applyBorder="1" applyAlignment="1">
      <alignment horizontal="center" vertical="center"/>
    </xf>
    <xf numFmtId="0" fontId="0" fillId="8" borderId="22" xfId="0" applyFill="1" applyBorder="1" applyAlignment="1">
      <alignment horizontal="center" vertical="center"/>
    </xf>
    <xf numFmtId="0" fontId="0" fillId="8" borderId="56" xfId="0" applyFill="1" applyBorder="1" applyAlignment="1">
      <alignment horizontal="center" vertical="center"/>
    </xf>
    <xf numFmtId="0" fontId="0" fillId="8" borderId="24" xfId="0" applyFill="1" applyBorder="1" applyAlignment="1">
      <alignment horizontal="center" vertical="center"/>
    </xf>
    <xf numFmtId="0" fontId="0" fillId="6" borderId="9" xfId="0" applyFill="1" applyBorder="1"/>
    <xf numFmtId="0" fontId="0" fillId="2" borderId="3" xfId="0" applyFill="1" applyBorder="1"/>
    <xf numFmtId="165" fontId="0" fillId="0" borderId="0" xfId="0" applyNumberFormat="1"/>
    <xf numFmtId="0" fontId="0" fillId="7" borderId="35" xfId="0" applyFill="1" applyBorder="1"/>
    <xf numFmtId="0" fontId="0" fillId="8" borderId="57" xfId="0" applyFill="1" applyBorder="1"/>
    <xf numFmtId="0" fontId="0" fillId="3" borderId="35" xfId="0" applyFill="1" applyBorder="1"/>
    <xf numFmtId="0" fontId="0" fillId="4" borderId="57" xfId="0" applyFill="1" applyBorder="1"/>
    <xf numFmtId="0" fontId="0" fillId="4" borderId="21" xfId="0" applyFill="1" applyBorder="1" applyAlignment="1">
      <alignment horizontal="center" vertical="center"/>
    </xf>
    <xf numFmtId="0" fontId="0" fillId="20" borderId="4" xfId="0" applyFill="1" applyBorder="1"/>
    <xf numFmtId="0" fontId="10" fillId="13" borderId="4" xfId="0" applyFont="1" applyFill="1" applyBorder="1"/>
    <xf numFmtId="0" fontId="10" fillId="13" borderId="6" xfId="0" applyFont="1" applyFill="1" applyBorder="1"/>
    <xf numFmtId="4" fontId="0" fillId="0" borderId="0" xfId="0" applyNumberFormat="1"/>
    <xf numFmtId="0" fontId="0" fillId="20" borderId="5" xfId="0" applyFill="1" applyBorder="1"/>
    <xf numFmtId="0" fontId="0" fillId="20" borderId="0" xfId="0" applyFill="1"/>
    <xf numFmtId="0" fontId="0" fillId="0" borderId="4" xfId="0" applyBorder="1" applyAlignment="1">
      <alignment horizontal="center" vertical="center"/>
    </xf>
    <xf numFmtId="0" fontId="0" fillId="28" borderId="34" xfId="0" applyFill="1" applyBorder="1"/>
    <xf numFmtId="0" fontId="0" fillId="0" borderId="4" xfId="0" applyBorder="1" applyAlignment="1">
      <alignment horizontal="center"/>
    </xf>
    <xf numFmtId="0" fontId="0" fillId="0" borderId="26" xfId="0" applyBorder="1"/>
    <xf numFmtId="0" fontId="0" fillId="0" borderId="56" xfId="0" applyBorder="1"/>
    <xf numFmtId="0" fontId="0" fillId="0" borderId="27" xfId="0" applyBorder="1"/>
    <xf numFmtId="49" fontId="0" fillId="0" borderId="34" xfId="0" applyNumberFormat="1" applyBorder="1"/>
    <xf numFmtId="0" fontId="0" fillId="0" borderId="58" xfId="0" applyBorder="1"/>
    <xf numFmtId="0" fontId="0" fillId="0" borderId="59" xfId="0" applyBorder="1"/>
    <xf numFmtId="0" fontId="0" fillId="0" borderId="54" xfId="0" applyBorder="1"/>
    <xf numFmtId="0" fontId="22" fillId="14" borderId="0" xfId="0" applyFont="1" applyFill="1"/>
    <xf numFmtId="0" fontId="9" fillId="14" borderId="0" xfId="0" applyFont="1" applyFill="1"/>
    <xf numFmtId="0" fontId="24" fillId="16" borderId="0" xfId="0" applyFont="1" applyFill="1"/>
    <xf numFmtId="0" fontId="0" fillId="4" borderId="34" xfId="0" applyFill="1" applyBorder="1" applyAlignment="1">
      <alignment horizontal="center" vertical="center"/>
    </xf>
    <xf numFmtId="0" fontId="0" fillId="13" borderId="31" xfId="0" applyFill="1" applyBorder="1"/>
    <xf numFmtId="0" fontId="5" fillId="6" borderId="0" xfId="0" applyFont="1" applyFill="1" applyAlignment="1">
      <alignment textRotation="90"/>
    </xf>
    <xf numFmtId="0" fontId="3" fillId="6" borderId="0" xfId="0" applyFont="1" applyFill="1" applyAlignment="1">
      <alignment textRotation="90"/>
    </xf>
    <xf numFmtId="0" fontId="3" fillId="2" borderId="0" xfId="0" applyFont="1" applyFill="1" applyAlignment="1">
      <alignment textRotation="90"/>
    </xf>
    <xf numFmtId="0" fontId="0" fillId="0" borderId="0" xfId="0" applyAlignment="1">
      <alignment horizontal="center" wrapText="1"/>
    </xf>
    <xf numFmtId="0" fontId="0" fillId="0" borderId="0" xfId="0" applyAlignment="1">
      <alignment horizontal="center" vertical="center"/>
    </xf>
    <xf numFmtId="0" fontId="0" fillId="0" borderId="6" xfId="0" applyBorder="1" applyAlignment="1">
      <alignment horizontal="center"/>
    </xf>
    <xf numFmtId="0" fontId="0" fillId="0" borderId="50" xfId="0" applyBorder="1" applyAlignment="1">
      <alignment horizontal="center"/>
    </xf>
    <xf numFmtId="0" fontId="0" fillId="0" borderId="50" xfId="0" applyBorder="1"/>
    <xf numFmtId="0" fontId="14" fillId="0" borderId="5" xfId="0" applyFont="1" applyBorder="1" applyAlignment="1">
      <alignment horizontal="center"/>
    </xf>
    <xf numFmtId="0" fontId="14" fillId="0" borderId="8" xfId="0" applyFont="1" applyBorder="1" applyAlignment="1">
      <alignment horizontal="center"/>
    </xf>
    <xf numFmtId="0" fontId="0" fillId="29" borderId="2" xfId="0" applyFill="1" applyBorder="1"/>
    <xf numFmtId="0" fontId="0" fillId="29" borderId="0" xfId="0" applyFill="1"/>
    <xf numFmtId="0" fontId="0" fillId="29" borderId="7" xfId="0" applyFill="1" applyBorder="1"/>
    <xf numFmtId="0" fontId="0" fillId="29" borderId="5" xfId="0" applyFill="1" applyBorder="1"/>
    <xf numFmtId="0" fontId="0" fillId="29" borderId="8" xfId="0" applyFill="1" applyBorder="1"/>
    <xf numFmtId="0" fontId="1" fillId="13" borderId="60" xfId="0" applyFont="1" applyFill="1" applyBorder="1" applyAlignment="1">
      <alignment horizontal="left"/>
    </xf>
    <xf numFmtId="0" fontId="0" fillId="7" borderId="62" xfId="0" applyFill="1" applyBorder="1" applyAlignment="1">
      <alignment horizontal="center"/>
    </xf>
    <xf numFmtId="0" fontId="0" fillId="9" borderId="65" xfId="0" applyFill="1" applyBorder="1"/>
    <xf numFmtId="0" fontId="0" fillId="7" borderId="66" xfId="0" applyFill="1" applyBorder="1" applyAlignment="1">
      <alignment horizontal="center"/>
    </xf>
    <xf numFmtId="0" fontId="0" fillId="3" borderId="62" xfId="0" applyFill="1" applyBorder="1" applyAlignment="1">
      <alignment horizontal="center"/>
    </xf>
    <xf numFmtId="0" fontId="0" fillId="5" borderId="63" xfId="0" applyFill="1" applyBorder="1"/>
    <xf numFmtId="0" fontId="0" fillId="5" borderId="64" xfId="0" applyFill="1" applyBorder="1"/>
    <xf numFmtId="0" fontId="0" fillId="5" borderId="65" xfId="0" applyFill="1" applyBorder="1"/>
    <xf numFmtId="0" fontId="0" fillId="3" borderId="66" xfId="0" applyFill="1" applyBorder="1" applyAlignment="1">
      <alignment horizontal="center"/>
    </xf>
    <xf numFmtId="0" fontId="0" fillId="5" borderId="67" xfId="0" applyFill="1" applyBorder="1"/>
    <xf numFmtId="0" fontId="0" fillId="0" borderId="33" xfId="0"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6" borderId="5" xfId="0" applyFill="1" applyBorder="1" applyAlignment="1">
      <alignment horizontal="center"/>
    </xf>
    <xf numFmtId="0" fontId="0" fillId="6" borderId="7" xfId="0" applyFill="1" applyBorder="1" applyAlignment="1">
      <alignment horizontal="center"/>
    </xf>
    <xf numFmtId="0" fontId="0" fillId="6" borderId="8" xfId="0" applyFill="1" applyBorder="1" applyAlignment="1">
      <alignment horizontal="center"/>
    </xf>
    <xf numFmtId="0" fontId="0" fillId="0" borderId="0" xfId="0" applyAlignment="1">
      <alignment horizontal="center"/>
    </xf>
    <xf numFmtId="0" fontId="0" fillId="4" borderId="15" xfId="0" applyFill="1" applyBorder="1" applyAlignment="1">
      <alignment horizontal="center"/>
    </xf>
    <xf numFmtId="0" fontId="0" fillId="4" borderId="16" xfId="0" applyFill="1" applyBorder="1" applyAlignment="1">
      <alignment horizontal="center"/>
    </xf>
    <xf numFmtId="0" fontId="0" fillId="4" borderId="17" xfId="0" applyFill="1" applyBorder="1" applyAlignment="1">
      <alignment horizontal="center"/>
    </xf>
    <xf numFmtId="0" fontId="0" fillId="8" borderId="15" xfId="0" applyFill="1" applyBorder="1" applyAlignment="1">
      <alignment horizontal="center"/>
    </xf>
    <xf numFmtId="0" fontId="0" fillId="8" borderId="16" xfId="0" applyFill="1" applyBorder="1" applyAlignment="1">
      <alignment horizontal="center"/>
    </xf>
    <xf numFmtId="0" fontId="0" fillId="8" borderId="17" xfId="0" applyFill="1" applyBorder="1" applyAlignment="1">
      <alignment horizontal="center"/>
    </xf>
    <xf numFmtId="0" fontId="0" fillId="10" borderId="0" xfId="0" applyFill="1" applyAlignment="1">
      <alignment horizontal="center"/>
    </xf>
    <xf numFmtId="0" fontId="0" fillId="10" borderId="5" xfId="0" applyFill="1" applyBorder="1" applyAlignment="1">
      <alignment horizontal="center"/>
    </xf>
    <xf numFmtId="0" fontId="0" fillId="10" borderId="7" xfId="0" applyFill="1" applyBorder="1" applyAlignment="1">
      <alignment horizontal="center"/>
    </xf>
    <xf numFmtId="0" fontId="0" fillId="0" borderId="7" xfId="0" applyBorder="1" applyAlignment="1">
      <alignment horizontal="center"/>
    </xf>
    <xf numFmtId="0" fontId="0" fillId="10" borderId="8" xfId="0" applyFill="1" applyBorder="1" applyAlignment="1">
      <alignment horizontal="center"/>
    </xf>
    <xf numFmtId="0" fontId="0" fillId="0" borderId="16" xfId="0" applyBorder="1" applyAlignment="1">
      <alignment horizontal="center"/>
    </xf>
    <xf numFmtId="0" fontId="0" fillId="0" borderId="37" xfId="0" applyBorder="1" applyAlignment="1">
      <alignment horizontal="center"/>
    </xf>
    <xf numFmtId="0" fontId="0" fillId="0" borderId="17" xfId="0" applyBorder="1" applyAlignment="1">
      <alignment horizontal="center"/>
    </xf>
    <xf numFmtId="0" fontId="0" fillId="10" borderId="0" xfId="0" applyFill="1" applyAlignment="1">
      <alignment horizontal="center" vertical="center"/>
    </xf>
    <xf numFmtId="0" fontId="0" fillId="10" borderId="5" xfId="0" applyFill="1" applyBorder="1" applyAlignment="1">
      <alignment horizontal="center" vertical="center"/>
    </xf>
    <xf numFmtId="0" fontId="0" fillId="20" borderId="0" xfId="0" applyFill="1" applyAlignment="1">
      <alignment horizontal="center"/>
    </xf>
    <xf numFmtId="0" fontId="0" fillId="0" borderId="55" xfId="0" applyBorder="1" applyAlignment="1">
      <alignment horizontal="center"/>
    </xf>
    <xf numFmtId="0" fontId="0" fillId="0" borderId="5" xfId="0" applyBorder="1" applyAlignment="1">
      <alignment horizontal="center"/>
    </xf>
    <xf numFmtId="0" fontId="0" fillId="20" borderId="5" xfId="0" applyFill="1" applyBorder="1" applyAlignment="1">
      <alignment horizontal="center"/>
    </xf>
    <xf numFmtId="0" fontId="0" fillId="0" borderId="8" xfId="0" applyBorder="1" applyAlignment="1">
      <alignment horizontal="center"/>
    </xf>
    <xf numFmtId="0" fontId="0" fillId="0" borderId="22" xfId="0" applyBorder="1" applyAlignment="1">
      <alignment horizontal="center"/>
    </xf>
    <xf numFmtId="0" fontId="0" fillId="0" borderId="26" xfId="0" applyBorder="1" applyAlignment="1">
      <alignment horizontal="center"/>
    </xf>
    <xf numFmtId="0" fontId="0" fillId="0" borderId="56" xfId="0" applyBorder="1" applyAlignment="1">
      <alignment horizontal="center"/>
    </xf>
    <xf numFmtId="0" fontId="0" fillId="0" borderId="27" xfId="0" applyBorder="1" applyAlignment="1">
      <alignment horizontal="center"/>
    </xf>
    <xf numFmtId="0" fontId="0" fillId="5" borderId="19" xfId="0" applyFill="1" applyBorder="1" applyAlignment="1">
      <alignment horizontal="center"/>
    </xf>
    <xf numFmtId="0" fontId="0" fillId="5" borderId="28" xfId="0" applyFill="1" applyBorder="1" applyAlignment="1">
      <alignment horizontal="center"/>
    </xf>
    <xf numFmtId="0" fontId="0" fillId="5" borderId="20" xfId="0" applyFill="1" applyBorder="1" applyAlignment="1">
      <alignment horizontal="center"/>
    </xf>
    <xf numFmtId="0" fontId="0" fillId="5" borderId="29" xfId="0" applyFill="1" applyBorder="1" applyAlignment="1">
      <alignment horizontal="center"/>
    </xf>
    <xf numFmtId="0" fontId="0" fillId="5" borderId="21" xfId="0" applyFill="1" applyBorder="1" applyAlignment="1">
      <alignment horizontal="center"/>
    </xf>
    <xf numFmtId="0" fontId="0" fillId="5" borderId="30" xfId="0" applyFill="1" applyBorder="1" applyAlignment="1">
      <alignment horizontal="center"/>
    </xf>
    <xf numFmtId="0" fontId="0" fillId="4" borderId="32" xfId="0" applyFill="1" applyBorder="1" applyAlignment="1">
      <alignment horizontal="center"/>
    </xf>
    <xf numFmtId="0" fontId="0" fillId="20" borderId="4" xfId="0" applyFill="1" applyBorder="1" applyAlignment="1">
      <alignment horizontal="center"/>
    </xf>
    <xf numFmtId="0" fontId="0" fillId="10" borderId="23" xfId="0" applyFill="1" applyBorder="1" applyAlignment="1">
      <alignment horizontal="center"/>
    </xf>
    <xf numFmtId="0" fontId="0" fillId="0" borderId="23" xfId="0" applyBorder="1" applyAlignment="1">
      <alignment horizontal="center"/>
    </xf>
    <xf numFmtId="0" fontId="0" fillId="10" borderId="24" xfId="0" applyFill="1" applyBorder="1" applyAlignment="1">
      <alignment horizontal="center"/>
    </xf>
    <xf numFmtId="0" fontId="0" fillId="13" borderId="31" xfId="0" applyFill="1" applyBorder="1" applyAlignment="1">
      <alignment horizontal="center"/>
    </xf>
    <xf numFmtId="0" fontId="0" fillId="13" borderId="32" xfId="0" applyFill="1" applyBorder="1" applyAlignment="1">
      <alignment horizontal="center"/>
    </xf>
    <xf numFmtId="0" fontId="1" fillId="13" borderId="60" xfId="0" applyFont="1" applyFill="1" applyBorder="1" applyAlignment="1">
      <alignment horizontal="center"/>
    </xf>
    <xf numFmtId="0" fontId="0" fillId="9" borderId="63" xfId="0" applyFill="1" applyBorder="1" applyAlignment="1">
      <alignment horizontal="center"/>
    </xf>
    <xf numFmtId="0" fontId="0" fillId="9" borderId="19" xfId="0" applyFill="1" applyBorder="1" applyAlignment="1">
      <alignment horizontal="center"/>
    </xf>
    <xf numFmtId="0" fontId="0" fillId="9" borderId="28" xfId="0" applyFill="1" applyBorder="1" applyAlignment="1">
      <alignment horizontal="center"/>
    </xf>
    <xf numFmtId="0" fontId="0" fillId="9" borderId="64" xfId="0" applyFill="1" applyBorder="1" applyAlignment="1">
      <alignment horizontal="center"/>
    </xf>
    <xf numFmtId="0" fontId="0" fillId="9" borderId="20" xfId="0" applyFill="1" applyBorder="1" applyAlignment="1">
      <alignment horizontal="center"/>
    </xf>
    <xf numFmtId="0" fontId="0" fillId="9" borderId="29" xfId="0" applyFill="1" applyBorder="1" applyAlignment="1">
      <alignment horizontal="center"/>
    </xf>
    <xf numFmtId="0" fontId="0" fillId="9" borderId="21" xfId="0" applyFill="1" applyBorder="1" applyAlignment="1">
      <alignment horizontal="center"/>
    </xf>
    <xf numFmtId="0" fontId="0" fillId="9" borderId="30" xfId="0" applyFill="1" applyBorder="1" applyAlignment="1">
      <alignment horizontal="center"/>
    </xf>
    <xf numFmtId="0" fontId="0" fillId="9" borderId="65" xfId="0" applyFill="1" applyBorder="1" applyAlignment="1">
      <alignment horizontal="center"/>
    </xf>
    <xf numFmtId="0" fontId="0" fillId="8" borderId="32" xfId="0" applyFill="1" applyBorder="1" applyAlignment="1">
      <alignment horizontal="center"/>
    </xf>
    <xf numFmtId="0" fontId="0" fillId="9" borderId="15" xfId="0" applyFill="1" applyBorder="1" applyAlignment="1">
      <alignment horizontal="center"/>
    </xf>
    <xf numFmtId="0" fontId="0" fillId="9" borderId="16" xfId="0" applyFill="1" applyBorder="1" applyAlignment="1">
      <alignment horizontal="center"/>
    </xf>
    <xf numFmtId="0" fontId="0" fillId="9" borderId="17" xfId="0" applyFill="1" applyBorder="1" applyAlignment="1">
      <alignment horizontal="center"/>
    </xf>
    <xf numFmtId="0" fontId="3" fillId="6" borderId="0" xfId="0" applyFont="1" applyFill="1" applyAlignment="1">
      <alignment horizontal="center" textRotation="90"/>
    </xf>
    <xf numFmtId="0" fontId="3" fillId="6" borderId="5" xfId="0" applyFont="1" applyFill="1" applyBorder="1" applyAlignment="1">
      <alignment horizontal="center" textRotation="90"/>
    </xf>
    <xf numFmtId="0" fontId="3" fillId="6" borderId="7" xfId="0" applyFont="1" applyFill="1" applyBorder="1" applyAlignment="1">
      <alignment horizontal="center" textRotation="90"/>
    </xf>
    <xf numFmtId="0" fontId="3" fillId="6" borderId="8" xfId="0" applyFont="1" applyFill="1" applyBorder="1" applyAlignment="1">
      <alignment horizontal="center" textRotation="90"/>
    </xf>
    <xf numFmtId="0" fontId="0" fillId="9" borderId="67" xfId="0" applyFill="1" applyBorder="1" applyAlignment="1">
      <alignment horizontal="center"/>
    </xf>
    <xf numFmtId="0" fontId="0" fillId="6" borderId="0" xfId="0" applyFill="1" applyAlignment="1">
      <alignment horizontal="center"/>
    </xf>
    <xf numFmtId="0" fontId="0" fillId="5" borderId="38" xfId="0" applyFill="1" applyBorder="1" applyAlignment="1">
      <alignment horizontal="center"/>
    </xf>
    <xf numFmtId="0" fontId="0" fillId="9" borderId="38" xfId="0" applyFill="1" applyBorder="1" applyAlignment="1">
      <alignment horizontal="center"/>
    </xf>
    <xf numFmtId="0" fontId="0" fillId="4" borderId="50" xfId="0" applyFill="1" applyBorder="1" applyAlignment="1">
      <alignment horizontal="center"/>
    </xf>
    <xf numFmtId="0" fontId="0" fillId="0" borderId="50" xfId="0" applyBorder="1" applyAlignment="1">
      <alignment horizontal="center" wrapText="1"/>
    </xf>
    <xf numFmtId="0" fontId="1" fillId="13" borderId="68" xfId="0" applyFont="1" applyFill="1" applyBorder="1" applyAlignment="1">
      <alignment horizontal="left"/>
    </xf>
    <xf numFmtId="0" fontId="0" fillId="7" borderId="70" xfId="0" applyFill="1" applyBorder="1" applyAlignment="1">
      <alignment horizontal="center"/>
    </xf>
    <xf numFmtId="0" fontId="0" fillId="9" borderId="71" xfId="0" applyFill="1" applyBorder="1"/>
    <xf numFmtId="0" fontId="0" fillId="9" borderId="72" xfId="0" applyFill="1" applyBorder="1"/>
    <xf numFmtId="0" fontId="0" fillId="9" borderId="73" xfId="0" applyFill="1" applyBorder="1"/>
    <xf numFmtId="0" fontId="0" fillId="7" borderId="74" xfId="0" applyFill="1" applyBorder="1" applyAlignment="1">
      <alignment horizontal="center"/>
    </xf>
    <xf numFmtId="0" fontId="0" fillId="9" borderId="75" xfId="0" applyFill="1" applyBorder="1"/>
    <xf numFmtId="0" fontId="0" fillId="3" borderId="70" xfId="0" applyFill="1" applyBorder="1" applyAlignment="1">
      <alignment horizontal="center"/>
    </xf>
    <xf numFmtId="0" fontId="0" fillId="5" borderId="71" xfId="0" applyFill="1" applyBorder="1"/>
    <xf numFmtId="0" fontId="0" fillId="5" borderId="72" xfId="0" applyFill="1" applyBorder="1"/>
    <xf numFmtId="0" fontId="0" fillId="5" borderId="73" xfId="0" applyFill="1" applyBorder="1"/>
    <xf numFmtId="0" fontId="0" fillId="3" borderId="74" xfId="0" applyFill="1" applyBorder="1" applyAlignment="1">
      <alignment horizontal="center"/>
    </xf>
    <xf numFmtId="0" fontId="0" fillId="5" borderId="75" xfId="0" applyFill="1" applyBorder="1"/>
    <xf numFmtId="14" fontId="0" fillId="28" borderId="34" xfId="0" applyNumberFormat="1" applyFill="1" applyBorder="1"/>
    <xf numFmtId="49" fontId="0" fillId="28" borderId="34" xfId="0" applyNumberFormat="1" applyFill="1" applyBorder="1"/>
    <xf numFmtId="0" fontId="0" fillId="0" borderId="35" xfId="0" applyBorder="1" applyAlignment="1">
      <alignment horizontal="center" wrapText="1"/>
    </xf>
    <xf numFmtId="0" fontId="0" fillId="0" borderId="34" xfId="0" applyBorder="1" applyAlignment="1">
      <alignment horizontal="center" vertical="center"/>
    </xf>
    <xf numFmtId="49" fontId="0" fillId="28" borderId="34" xfId="0" applyNumberFormat="1" applyFill="1" applyBorder="1" applyAlignment="1">
      <alignment horizontal="right"/>
    </xf>
    <xf numFmtId="166" fontId="0" fillId="28" borderId="34" xfId="0" applyNumberFormat="1" applyFill="1" applyBorder="1"/>
    <xf numFmtId="0" fontId="0" fillId="28" borderId="34" xfId="0" applyFill="1" applyBorder="1" applyAlignment="1">
      <alignment horizontal="center"/>
    </xf>
    <xf numFmtId="0" fontId="0" fillId="28" borderId="34" xfId="0" applyFill="1" applyBorder="1" applyAlignment="1">
      <alignment vertical="top"/>
    </xf>
    <xf numFmtId="166" fontId="0" fillId="28" borderId="34" xfId="0" applyNumberFormat="1" applyFill="1" applyBorder="1" applyAlignment="1">
      <alignment horizontal="right" vertical="top"/>
    </xf>
    <xf numFmtId="0" fontId="13" fillId="28" borderId="34" xfId="0" applyFont="1" applyFill="1" applyBorder="1" applyAlignment="1">
      <alignment vertical="center"/>
    </xf>
    <xf numFmtId="0" fontId="13" fillId="28" borderId="34" xfId="0" applyFont="1" applyFill="1" applyBorder="1" applyAlignment="1">
      <alignment horizontal="right" vertical="center"/>
    </xf>
    <xf numFmtId="164" fontId="0" fillId="28" borderId="34" xfId="0" applyNumberFormat="1" applyFill="1" applyBorder="1"/>
    <xf numFmtId="0" fontId="13" fillId="28" borderId="34" xfId="0" applyFont="1" applyFill="1" applyBorder="1" applyAlignment="1">
      <alignment horizontal="left" vertical="center"/>
    </xf>
    <xf numFmtId="0" fontId="13" fillId="0" borderId="34" xfId="0" applyFont="1" applyBorder="1" applyAlignment="1">
      <alignment vertical="center"/>
    </xf>
    <xf numFmtId="0" fontId="0" fillId="5" borderId="74" xfId="0" applyFill="1" applyBorder="1"/>
    <xf numFmtId="0" fontId="0" fillId="0" borderId="16" xfId="0" applyBorder="1"/>
    <xf numFmtId="0" fontId="0" fillId="0" borderId="37" xfId="0" applyBorder="1"/>
    <xf numFmtId="0" fontId="0" fillId="0" borderId="17" xfId="0" applyBorder="1"/>
    <xf numFmtId="0" fontId="0" fillId="9" borderId="74" xfId="0" applyFill="1" applyBorder="1"/>
    <xf numFmtId="9" fontId="0" fillId="0" borderId="9" xfId="0" applyNumberFormat="1" applyBorder="1"/>
    <xf numFmtId="0" fontId="0" fillId="10" borderId="16" xfId="0" applyFill="1" applyBorder="1"/>
    <xf numFmtId="0" fontId="0" fillId="10" borderId="37" xfId="0" applyFill="1" applyBorder="1"/>
    <xf numFmtId="0" fontId="0" fillId="10" borderId="17" xfId="0" applyFill="1" applyBorder="1"/>
    <xf numFmtId="0" fontId="0" fillId="28" borderId="0" xfId="0" applyFill="1"/>
    <xf numFmtId="15" fontId="0" fillId="28" borderId="0" xfId="0" applyNumberFormat="1" applyFill="1"/>
    <xf numFmtId="0" fontId="2" fillId="0" borderId="0" xfId="0" applyFont="1"/>
    <xf numFmtId="0" fontId="14" fillId="0" borderId="0" xfId="0" applyFont="1"/>
    <xf numFmtId="3" fontId="13" fillId="28" borderId="34" xfId="0" applyNumberFormat="1" applyFont="1" applyFill="1" applyBorder="1" applyAlignment="1">
      <alignment horizontal="right" vertical="center"/>
    </xf>
    <xf numFmtId="0" fontId="17" fillId="2" borderId="1" xfId="0" applyFont="1" applyFill="1" applyBorder="1" applyAlignment="1">
      <alignment horizontal="left"/>
    </xf>
    <xf numFmtId="0" fontId="17" fillId="2" borderId="2" xfId="0" applyFont="1" applyFill="1" applyBorder="1" applyAlignment="1">
      <alignment horizontal="left"/>
    </xf>
    <xf numFmtId="0" fontId="0" fillId="16" borderId="2" xfId="0" applyFill="1" applyBorder="1" applyAlignment="1">
      <alignment horizontal="center"/>
    </xf>
    <xf numFmtId="0" fontId="0" fillId="16" borderId="3"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9" borderId="4" xfId="0" applyFill="1" applyBorder="1" applyAlignment="1">
      <alignment horizontal="left" vertical="top" wrapText="1"/>
    </xf>
    <xf numFmtId="0" fontId="0" fillId="9" borderId="0" xfId="0" applyFill="1" applyAlignment="1">
      <alignment horizontal="left" vertical="top" wrapText="1"/>
    </xf>
    <xf numFmtId="0" fontId="0" fillId="9" borderId="5" xfId="0" applyFill="1" applyBorder="1" applyAlignment="1">
      <alignment horizontal="left" vertical="top" wrapText="1"/>
    </xf>
    <xf numFmtId="0" fontId="0" fillId="9" borderId="6" xfId="0" applyFill="1" applyBorder="1" applyAlignment="1">
      <alignment horizontal="left" vertical="top" wrapText="1"/>
    </xf>
    <xf numFmtId="0" fontId="0" fillId="9" borderId="7" xfId="0" applyFill="1" applyBorder="1" applyAlignment="1">
      <alignment horizontal="left" vertical="top" wrapText="1"/>
    </xf>
    <xf numFmtId="0" fontId="0" fillId="9" borderId="8" xfId="0" applyFill="1" applyBorder="1" applyAlignment="1">
      <alignment horizontal="left" vertical="top" wrapText="1"/>
    </xf>
    <xf numFmtId="0" fontId="17" fillId="13" borderId="1" xfId="0" applyFont="1" applyFill="1" applyBorder="1" applyAlignment="1">
      <alignment horizontal="left"/>
    </xf>
    <xf numFmtId="0" fontId="17" fillId="13" borderId="2" xfId="0" applyFont="1" applyFill="1" applyBorder="1" applyAlignment="1">
      <alignment horizontal="left"/>
    </xf>
    <xf numFmtId="0" fontId="17" fillId="6" borderId="1" xfId="0" applyFont="1" applyFill="1" applyBorder="1" applyAlignment="1">
      <alignment horizontal="left"/>
    </xf>
    <xf numFmtId="0" fontId="17" fillId="6" borderId="2" xfId="0" applyFont="1" applyFill="1" applyBorder="1" applyAlignment="1">
      <alignment horizontal="left"/>
    </xf>
    <xf numFmtId="0" fontId="0" fillId="23" borderId="45" xfId="0" applyFill="1" applyBorder="1" applyAlignment="1">
      <alignment horizontal="left" vertical="top" wrapText="1"/>
    </xf>
    <xf numFmtId="0" fontId="0" fillId="23" borderId="37" xfId="0" applyFill="1" applyBorder="1" applyAlignment="1">
      <alignment horizontal="left" vertical="top" wrapText="1"/>
    </xf>
    <xf numFmtId="0" fontId="0" fillId="26" borderId="4" xfId="0" applyFill="1" applyBorder="1" applyAlignment="1">
      <alignment horizontal="left" vertical="top" wrapText="1"/>
    </xf>
    <xf numFmtId="0" fontId="0" fillId="26" borderId="0" xfId="0" applyFill="1" applyAlignment="1">
      <alignment horizontal="left" vertical="top" wrapText="1"/>
    </xf>
    <xf numFmtId="0" fontId="0" fillId="5" borderId="4" xfId="0" applyFill="1" applyBorder="1" applyAlignment="1">
      <alignment horizontal="left" vertical="top" wrapText="1"/>
    </xf>
    <xf numFmtId="0" fontId="0" fillId="5" borderId="0" xfId="0" applyFill="1" applyAlignment="1">
      <alignment horizontal="left" vertical="top" wrapText="1"/>
    </xf>
    <xf numFmtId="0" fontId="0" fillId="5" borderId="5" xfId="0" applyFill="1" applyBorder="1" applyAlignment="1">
      <alignment horizontal="left" vertical="top" wrapText="1"/>
    </xf>
    <xf numFmtId="0" fontId="0" fillId="5" borderId="6" xfId="0" applyFill="1" applyBorder="1" applyAlignment="1">
      <alignment horizontal="left" vertical="top" wrapText="1"/>
    </xf>
    <xf numFmtId="0" fontId="0" fillId="5" borderId="7" xfId="0" applyFill="1" applyBorder="1" applyAlignment="1">
      <alignment horizontal="left" vertical="top" wrapText="1"/>
    </xf>
    <xf numFmtId="0" fontId="0" fillId="5" borderId="8" xfId="0" applyFill="1" applyBorder="1" applyAlignment="1">
      <alignment horizontal="left" vertical="top" wrapText="1"/>
    </xf>
    <xf numFmtId="0" fontId="0" fillId="17" borderId="4" xfId="0" applyFill="1" applyBorder="1" applyAlignment="1">
      <alignment horizontal="left" vertical="top" wrapText="1"/>
    </xf>
    <xf numFmtId="0" fontId="0" fillId="17" borderId="0" xfId="0" applyFill="1" applyAlignment="1">
      <alignment horizontal="left" vertical="top" wrapText="1"/>
    </xf>
    <xf numFmtId="0" fontId="0" fillId="17" borderId="5" xfId="0" applyFill="1" applyBorder="1" applyAlignment="1">
      <alignment horizontal="left" vertical="top" wrapText="1"/>
    </xf>
    <xf numFmtId="0" fontId="0" fillId="23" borderId="34" xfId="0" applyFill="1" applyBorder="1" applyAlignment="1">
      <alignment horizontal="left" vertical="top" wrapText="1"/>
    </xf>
    <xf numFmtId="0" fontId="0" fillId="10" borderId="0" xfId="0" applyFill="1" applyAlignment="1">
      <alignment horizontal="left" vertical="top" wrapText="1"/>
    </xf>
    <xf numFmtId="0" fontId="0" fillId="26" borderId="51" xfId="0" applyFill="1" applyBorder="1" applyAlignment="1">
      <alignment horizontal="center" vertical="top" wrapText="1"/>
    </xf>
    <xf numFmtId="0" fontId="0" fillId="26" borderId="0" xfId="0" applyFill="1" applyAlignment="1">
      <alignment horizontal="center" vertical="top" wrapText="1"/>
    </xf>
    <xf numFmtId="0" fontId="0" fillId="26" borderId="5" xfId="0" applyFill="1" applyBorder="1" applyAlignment="1">
      <alignment horizontal="center" vertical="top" wrapText="1"/>
    </xf>
    <xf numFmtId="0" fontId="0" fillId="26" borderId="51" xfId="0" applyFill="1" applyBorder="1" applyAlignment="1">
      <alignment horizontal="center"/>
    </xf>
    <xf numFmtId="0" fontId="0" fillId="26" borderId="0" xfId="0" applyFill="1" applyAlignment="1">
      <alignment horizontal="center"/>
    </xf>
    <xf numFmtId="0" fontId="0" fillId="26" borderId="5" xfId="0" applyFill="1"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18" fillId="13" borderId="1" xfId="0" applyFont="1" applyFill="1" applyBorder="1" applyAlignment="1">
      <alignment horizontal="left" vertical="top" wrapText="1"/>
    </xf>
    <xf numFmtId="0" fontId="17" fillId="13" borderId="2" xfId="0" applyFont="1" applyFill="1" applyBorder="1" applyAlignment="1">
      <alignment horizontal="left" vertical="top" wrapText="1"/>
    </xf>
    <xf numFmtId="0" fontId="16" fillId="16" borderId="2" xfId="0" applyFont="1" applyFill="1" applyBorder="1" applyAlignment="1">
      <alignment horizontal="center" vertical="top" wrapText="1"/>
    </xf>
    <xf numFmtId="0" fontId="16" fillId="16" borderId="3" xfId="0" applyFont="1" applyFill="1" applyBorder="1" applyAlignment="1">
      <alignment horizontal="center" vertical="top" wrapText="1"/>
    </xf>
    <xf numFmtId="0" fontId="0" fillId="17" borderId="6" xfId="0" applyFill="1" applyBorder="1" applyAlignment="1">
      <alignment horizontal="left" vertical="top" wrapText="1"/>
    </xf>
    <xf numFmtId="0" fontId="0" fillId="17" borderId="7" xfId="0" applyFill="1" applyBorder="1" applyAlignment="1">
      <alignment horizontal="left" vertical="top" wrapText="1"/>
    </xf>
    <xf numFmtId="0" fontId="0" fillId="17" borderId="8" xfId="0" applyFill="1" applyBorder="1" applyAlignment="1">
      <alignment horizontal="left" vertical="top" wrapText="1"/>
    </xf>
    <xf numFmtId="0" fontId="17" fillId="23" borderId="1" xfId="0" applyFont="1" applyFill="1" applyBorder="1" applyAlignment="1">
      <alignment horizontal="left" vertical="top" wrapText="1"/>
    </xf>
    <xf numFmtId="0" fontId="17" fillId="23" borderId="2" xfId="0" applyFont="1" applyFill="1" applyBorder="1" applyAlignment="1">
      <alignment horizontal="left" vertical="top" wrapText="1"/>
    </xf>
    <xf numFmtId="0" fontId="16" fillId="22" borderId="2" xfId="0" applyFont="1" applyFill="1" applyBorder="1" applyAlignment="1">
      <alignment horizontal="center" vertical="top" wrapText="1"/>
    </xf>
    <xf numFmtId="0" fontId="16" fillId="22" borderId="3" xfId="0" applyFont="1" applyFill="1" applyBorder="1" applyAlignment="1">
      <alignment horizontal="center" vertical="top" wrapText="1"/>
    </xf>
    <xf numFmtId="0" fontId="16" fillId="3" borderId="2" xfId="0" applyFont="1" applyFill="1" applyBorder="1" applyAlignment="1">
      <alignment horizontal="center" vertical="top" wrapText="1"/>
    </xf>
    <xf numFmtId="0" fontId="16" fillId="3" borderId="3" xfId="0" applyFont="1" applyFill="1" applyBorder="1" applyAlignment="1">
      <alignment horizontal="center" vertical="top" wrapText="1"/>
    </xf>
    <xf numFmtId="0" fontId="17" fillId="21" borderId="1" xfId="0" applyFont="1" applyFill="1" applyBorder="1" applyAlignment="1">
      <alignment horizontal="left" vertical="top" wrapText="1"/>
    </xf>
    <xf numFmtId="0" fontId="17" fillId="21" borderId="2" xfId="0" applyFont="1" applyFill="1" applyBorder="1" applyAlignment="1">
      <alignment horizontal="left" vertical="top" wrapText="1"/>
    </xf>
    <xf numFmtId="0" fontId="17" fillId="13"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7" fillId="2" borderId="2" xfId="0" applyFont="1" applyFill="1" applyBorder="1" applyAlignment="1">
      <alignment horizontal="left" vertical="top" wrapText="1"/>
    </xf>
    <xf numFmtId="0" fontId="0" fillId="25" borderId="4" xfId="0" applyFill="1" applyBorder="1" applyAlignment="1">
      <alignment horizontal="left" vertical="top" wrapText="1"/>
    </xf>
    <xf numFmtId="0" fontId="0" fillId="25" borderId="0" xfId="0" applyFill="1" applyAlignment="1">
      <alignment horizontal="left" vertical="top" wrapText="1"/>
    </xf>
    <xf numFmtId="0" fontId="0" fillId="25" borderId="5" xfId="0" applyFill="1" applyBorder="1" applyAlignment="1">
      <alignment horizontal="left" vertical="top" wrapText="1"/>
    </xf>
    <xf numFmtId="0" fontId="0" fillId="25" borderId="6" xfId="0" applyFill="1" applyBorder="1" applyAlignment="1">
      <alignment horizontal="left" vertical="top" wrapText="1"/>
    </xf>
    <xf numFmtId="0" fontId="0" fillId="25" borderId="7" xfId="0" applyFill="1" applyBorder="1" applyAlignment="1">
      <alignment horizontal="left" vertical="top" wrapText="1"/>
    </xf>
    <xf numFmtId="0" fontId="0" fillId="25" borderId="8" xfId="0" applyFill="1" applyBorder="1" applyAlignment="1">
      <alignment horizontal="left" vertical="top" wrapText="1"/>
    </xf>
    <xf numFmtId="0" fontId="0" fillId="26" borderId="6" xfId="0" applyFill="1" applyBorder="1" applyAlignment="1">
      <alignment horizontal="left" vertical="top" wrapText="1"/>
    </xf>
    <xf numFmtId="0" fontId="0" fillId="26" borderId="7" xfId="0" applyFill="1" applyBorder="1" applyAlignment="1">
      <alignment horizontal="left" vertical="top" wrapText="1"/>
    </xf>
    <xf numFmtId="0" fontId="0" fillId="26" borderId="8" xfId="0" applyFill="1" applyBorder="1" applyAlignment="1">
      <alignment horizontal="left" vertical="top" wrapText="1"/>
    </xf>
    <xf numFmtId="0" fontId="16" fillId="24" borderId="2" xfId="0" applyFont="1" applyFill="1" applyBorder="1" applyAlignment="1">
      <alignment horizontal="center" vertical="top" wrapText="1"/>
    </xf>
    <xf numFmtId="0" fontId="16" fillId="24" borderId="3" xfId="0" applyFont="1" applyFill="1" applyBorder="1" applyAlignment="1">
      <alignment horizontal="center" vertical="top" wrapText="1"/>
    </xf>
    <xf numFmtId="0" fontId="16" fillId="7" borderId="2" xfId="0" applyFont="1" applyFill="1" applyBorder="1" applyAlignment="1">
      <alignment horizontal="center" vertical="top" wrapText="1"/>
    </xf>
    <xf numFmtId="0" fontId="16" fillId="7" borderId="3" xfId="0" applyFont="1" applyFill="1" applyBorder="1" applyAlignment="1">
      <alignment horizontal="center" vertical="top" wrapText="1"/>
    </xf>
    <xf numFmtId="0" fontId="21" fillId="27" borderId="1" xfId="0" applyFont="1" applyFill="1" applyBorder="1" applyAlignment="1">
      <alignment horizontal="center"/>
    </xf>
    <xf numFmtId="0" fontId="0" fillId="27" borderId="2" xfId="0" applyFill="1" applyBorder="1" applyAlignment="1">
      <alignment horizontal="center"/>
    </xf>
    <xf numFmtId="0" fontId="0" fillId="27" borderId="3" xfId="0" applyFill="1" applyBorder="1" applyAlignment="1">
      <alignment horizontal="center"/>
    </xf>
    <xf numFmtId="0" fontId="0" fillId="27" borderId="4" xfId="0" applyFill="1" applyBorder="1" applyAlignment="1">
      <alignment horizontal="center"/>
    </xf>
    <xf numFmtId="0" fontId="0" fillId="27" borderId="0" xfId="0" applyFill="1" applyAlignment="1">
      <alignment horizontal="center"/>
    </xf>
    <xf numFmtId="0" fontId="0" fillId="27" borderId="5" xfId="0" applyFill="1" applyBorder="1" applyAlignment="1">
      <alignment horizontal="center"/>
    </xf>
    <xf numFmtId="0" fontId="2" fillId="27" borderId="6" xfId="0" applyFont="1" applyFill="1" applyBorder="1" applyAlignment="1">
      <alignment horizontal="center"/>
    </xf>
    <xf numFmtId="0" fontId="0" fillId="27" borderId="7" xfId="0" applyFill="1" applyBorder="1" applyAlignment="1">
      <alignment horizontal="center"/>
    </xf>
    <xf numFmtId="0" fontId="0" fillId="27" borderId="8" xfId="0" applyFill="1" applyBorder="1" applyAlignment="1">
      <alignment horizontal="center"/>
    </xf>
    <xf numFmtId="0" fontId="0" fillId="26" borderId="5" xfId="0" applyFill="1" applyBorder="1" applyAlignment="1">
      <alignment horizontal="left" vertical="top" wrapText="1"/>
    </xf>
    <xf numFmtId="0" fontId="0" fillId="22" borderId="2" xfId="0" applyFill="1" applyBorder="1" applyAlignment="1">
      <alignment horizontal="center" vertical="top" wrapText="1"/>
    </xf>
    <xf numFmtId="0" fontId="0" fillId="22" borderId="3" xfId="0" applyFill="1" applyBorder="1" applyAlignment="1">
      <alignment horizontal="center" vertical="top" wrapText="1"/>
    </xf>
    <xf numFmtId="0" fontId="17" fillId="6" borderId="1" xfId="0" applyFont="1" applyFill="1" applyBorder="1" applyAlignment="1">
      <alignment horizontal="left" vertical="top" wrapText="1"/>
    </xf>
    <xf numFmtId="0" fontId="17" fillId="6" borderId="2" xfId="0" applyFont="1" applyFill="1" applyBorder="1" applyAlignment="1">
      <alignment horizontal="left" vertical="top" wrapText="1"/>
    </xf>
    <xf numFmtId="0" fontId="0" fillId="9" borderId="4" xfId="0" applyFill="1" applyBorder="1" applyAlignment="1">
      <alignment vertical="top" wrapText="1"/>
    </xf>
    <xf numFmtId="0" fontId="0" fillId="9" borderId="0" xfId="0" applyFill="1" applyAlignment="1">
      <alignment vertical="top" wrapText="1"/>
    </xf>
    <xf numFmtId="0" fontId="0" fillId="9" borderId="5" xfId="0" applyFill="1" applyBorder="1" applyAlignment="1">
      <alignment vertical="top" wrapText="1"/>
    </xf>
    <xf numFmtId="0" fontId="0" fillId="9" borderId="6" xfId="0" applyFill="1" applyBorder="1" applyAlignment="1">
      <alignment vertical="top" wrapText="1"/>
    </xf>
    <xf numFmtId="0" fontId="0" fillId="9" borderId="7" xfId="0" applyFill="1" applyBorder="1" applyAlignment="1">
      <alignment vertical="top" wrapText="1"/>
    </xf>
    <xf numFmtId="0" fontId="0" fillId="9" borderId="8" xfId="0" applyFill="1" applyBorder="1" applyAlignment="1">
      <alignment vertical="top" wrapText="1"/>
    </xf>
    <xf numFmtId="0" fontId="0" fillId="7" borderId="13" xfId="0" applyFill="1" applyBorder="1" applyAlignment="1">
      <alignment horizontal="center"/>
    </xf>
    <xf numFmtId="0" fontId="0" fillId="7" borderId="12" xfId="0" applyFill="1" applyBorder="1" applyAlignment="1">
      <alignment horizontal="center"/>
    </xf>
    <xf numFmtId="0" fontId="0" fillId="7" borderId="11" xfId="0" applyFill="1" applyBorder="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6" fillId="12" borderId="35" xfId="0" applyFont="1" applyFill="1" applyBorder="1" applyAlignment="1">
      <alignment horizontal="center" textRotation="90"/>
    </xf>
    <xf numFmtId="0" fontId="6" fillId="12" borderId="9" xfId="0" applyFont="1" applyFill="1" applyBorder="1" applyAlignment="1">
      <alignment horizontal="center" textRotation="90"/>
    </xf>
    <xf numFmtId="0" fontId="6" fillId="12" borderId="36" xfId="0" applyFont="1" applyFill="1" applyBorder="1" applyAlignment="1">
      <alignment horizontal="center" textRotation="90"/>
    </xf>
    <xf numFmtId="0" fontId="6" fillId="11" borderId="35" xfId="0" applyFont="1" applyFill="1" applyBorder="1" applyAlignment="1">
      <alignment horizontal="center" textRotation="90"/>
    </xf>
    <xf numFmtId="0" fontId="6" fillId="11" borderId="9" xfId="0" applyFont="1" applyFill="1" applyBorder="1" applyAlignment="1">
      <alignment horizontal="center" textRotation="90"/>
    </xf>
    <xf numFmtId="0" fontId="6" fillId="11" borderId="36" xfId="0" applyFont="1" applyFill="1" applyBorder="1" applyAlignment="1">
      <alignment horizontal="center" textRotation="90"/>
    </xf>
    <xf numFmtId="0" fontId="0" fillId="3" borderId="13" xfId="0" applyFill="1" applyBorder="1" applyAlignment="1">
      <alignment horizontal="center"/>
    </xf>
    <xf numFmtId="0" fontId="0" fillId="3" borderId="12" xfId="0" applyFill="1" applyBorder="1" applyAlignment="1">
      <alignment horizontal="center"/>
    </xf>
    <xf numFmtId="0" fontId="0" fillId="3" borderId="11" xfId="0" applyFill="1" applyBorder="1" applyAlignment="1">
      <alignment horizontal="center"/>
    </xf>
    <xf numFmtId="0" fontId="0" fillId="6" borderId="1" xfId="0" applyFill="1" applyBorder="1" applyAlignment="1">
      <alignment horizontal="center"/>
    </xf>
    <xf numFmtId="0" fontId="0" fillId="6" borderId="2" xfId="0" applyFill="1" applyBorder="1" applyAlignment="1">
      <alignment horizontal="center"/>
    </xf>
    <xf numFmtId="0" fontId="0" fillId="6" borderId="5" xfId="0" applyFill="1" applyBorder="1" applyAlignment="1">
      <alignment horizontal="center"/>
    </xf>
    <xf numFmtId="0" fontId="0" fillId="6" borderId="7" xfId="0" applyFill="1" applyBorder="1" applyAlignment="1">
      <alignment horizontal="center"/>
    </xf>
    <xf numFmtId="0" fontId="0" fillId="6" borderId="8" xfId="0" applyFill="1" applyBorder="1" applyAlignment="1">
      <alignment horizontal="center"/>
    </xf>
    <xf numFmtId="0" fontId="0" fillId="2" borderId="2" xfId="0"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0" fillId="2" borderId="4" xfId="0" applyFill="1" applyBorder="1" applyAlignment="1">
      <alignment horizontal="center"/>
    </xf>
    <xf numFmtId="0" fontId="0" fillId="2" borderId="6" xfId="0" applyFill="1" applyBorder="1" applyAlignment="1">
      <alignment horizontal="center"/>
    </xf>
    <xf numFmtId="0" fontId="6" fillId="11" borderId="4" xfId="0" applyFont="1" applyFill="1" applyBorder="1" applyAlignment="1">
      <alignment horizontal="center" textRotation="90"/>
    </xf>
    <xf numFmtId="0" fontId="0" fillId="8" borderId="34" xfId="0" applyFill="1" applyBorder="1" applyAlignment="1">
      <alignment horizontal="center"/>
    </xf>
    <xf numFmtId="0" fontId="0" fillId="8" borderId="42" xfId="0" applyFill="1" applyBorder="1" applyAlignment="1">
      <alignment horizontal="center"/>
    </xf>
    <xf numFmtId="0" fontId="0" fillId="4" borderId="34" xfId="0" applyFill="1" applyBorder="1" applyAlignment="1">
      <alignment horizontal="center"/>
    </xf>
    <xf numFmtId="0" fontId="0" fillId="4" borderId="42" xfId="0" applyFill="1" applyBorder="1" applyAlignment="1">
      <alignment horizontal="center"/>
    </xf>
    <xf numFmtId="0" fontId="0" fillId="8" borderId="45" xfId="0" applyFill="1" applyBorder="1" applyAlignment="1">
      <alignment horizontal="center"/>
    </xf>
    <xf numFmtId="0" fontId="1" fillId="2" borderId="3" xfId="0" applyFont="1" applyFill="1" applyBorder="1" applyAlignment="1">
      <alignment horizontal="center"/>
    </xf>
    <xf numFmtId="0" fontId="4" fillId="11" borderId="31" xfId="0" applyFont="1" applyFill="1" applyBorder="1" applyAlignment="1">
      <alignment horizontal="left"/>
    </xf>
    <xf numFmtId="0" fontId="4" fillId="11" borderId="32" xfId="0" applyFont="1" applyFill="1" applyBorder="1" applyAlignment="1">
      <alignment horizontal="left"/>
    </xf>
    <xf numFmtId="0" fontId="4" fillId="11" borderId="33" xfId="0" applyFont="1" applyFill="1" applyBorder="1" applyAlignment="1">
      <alignment horizontal="left"/>
    </xf>
    <xf numFmtId="0" fontId="1" fillId="2" borderId="50" xfId="0" applyFont="1" applyFill="1" applyBorder="1" applyAlignment="1">
      <alignment horizontal="center"/>
    </xf>
    <xf numFmtId="0" fontId="4" fillId="11" borderId="50" xfId="0" applyFont="1" applyFill="1" applyBorder="1" applyAlignment="1">
      <alignment horizontal="left"/>
    </xf>
    <xf numFmtId="0" fontId="0" fillId="3" borderId="50" xfId="0" applyFill="1" applyBorder="1" applyAlignment="1">
      <alignment horizontal="center"/>
    </xf>
    <xf numFmtId="0" fontId="1" fillId="3" borderId="50" xfId="0" applyFont="1" applyFill="1" applyBorder="1" applyAlignment="1">
      <alignment horizontal="center"/>
    </xf>
    <xf numFmtId="0" fontId="5" fillId="11" borderId="35" xfId="0" applyFont="1" applyFill="1" applyBorder="1" applyAlignment="1">
      <alignment horizontal="center" textRotation="90"/>
    </xf>
    <xf numFmtId="0" fontId="5" fillId="11" borderId="9" xfId="0" applyFont="1" applyFill="1" applyBorder="1" applyAlignment="1">
      <alignment horizontal="center" textRotation="90"/>
    </xf>
    <xf numFmtId="0" fontId="5" fillId="11" borderId="36" xfId="0" applyFont="1" applyFill="1" applyBorder="1" applyAlignment="1">
      <alignment horizontal="center" textRotation="90"/>
    </xf>
    <xf numFmtId="0" fontId="0" fillId="3" borderId="15" xfId="0" applyFill="1" applyBorder="1" applyAlignment="1">
      <alignment horizontal="center"/>
    </xf>
    <xf numFmtId="0" fontId="0" fillId="3" borderId="16" xfId="0" applyFill="1" applyBorder="1" applyAlignment="1">
      <alignment horizontal="center"/>
    </xf>
    <xf numFmtId="0" fontId="0" fillId="3" borderId="17" xfId="0" applyFill="1" applyBorder="1" applyAlignment="1">
      <alignment horizontal="center"/>
    </xf>
    <xf numFmtId="0" fontId="4" fillId="12" borderId="31" xfId="0" applyFont="1" applyFill="1" applyBorder="1" applyAlignment="1">
      <alignment horizontal="center"/>
    </xf>
    <xf numFmtId="0" fontId="4" fillId="12" borderId="32" xfId="0" applyFont="1" applyFill="1" applyBorder="1" applyAlignment="1">
      <alignment horizontal="center"/>
    </xf>
    <xf numFmtId="0" fontId="1" fillId="6" borderId="31" xfId="0" applyFont="1" applyFill="1" applyBorder="1" applyAlignment="1">
      <alignment horizontal="center"/>
    </xf>
    <xf numFmtId="0" fontId="1" fillId="6" borderId="32" xfId="0" applyFont="1" applyFill="1" applyBorder="1" applyAlignment="1">
      <alignment horizontal="center"/>
    </xf>
    <xf numFmtId="0" fontId="1" fillId="6" borderId="3" xfId="0" applyFont="1" applyFill="1" applyBorder="1" applyAlignment="1">
      <alignment horizontal="center"/>
    </xf>
    <xf numFmtId="0" fontId="4" fillId="12" borderId="31" xfId="0" applyFont="1" applyFill="1" applyBorder="1" applyAlignment="1">
      <alignment horizontal="left"/>
    </xf>
    <xf numFmtId="0" fontId="4" fillId="12" borderId="32" xfId="0" applyFont="1" applyFill="1" applyBorder="1" applyAlignment="1">
      <alignment horizontal="left"/>
    </xf>
    <xf numFmtId="0" fontId="4" fillId="12" borderId="33" xfId="0" applyFont="1" applyFill="1" applyBorder="1" applyAlignment="1">
      <alignment horizontal="left"/>
    </xf>
    <xf numFmtId="0" fontId="5" fillId="12" borderId="35" xfId="0" applyFont="1" applyFill="1" applyBorder="1" applyAlignment="1">
      <alignment horizontal="center" textRotation="90"/>
    </xf>
    <xf numFmtId="0" fontId="5" fillId="12" borderId="9" xfId="0" applyFont="1" applyFill="1" applyBorder="1" applyAlignment="1">
      <alignment horizontal="center" textRotation="90"/>
    </xf>
    <xf numFmtId="0" fontId="5" fillId="12" borderId="36" xfId="0" applyFont="1" applyFill="1" applyBorder="1" applyAlignment="1">
      <alignment horizontal="center" textRotation="90"/>
    </xf>
    <xf numFmtId="0" fontId="0" fillId="0" borderId="0" xfId="0" applyAlignment="1">
      <alignment horizontal="center"/>
    </xf>
    <xf numFmtId="0" fontId="0" fillId="7" borderId="15" xfId="0" applyFill="1" applyBorder="1" applyAlignment="1">
      <alignment horizontal="center"/>
    </xf>
    <xf numFmtId="0" fontId="0" fillId="7" borderId="16" xfId="0" applyFill="1" applyBorder="1" applyAlignment="1">
      <alignment horizontal="center"/>
    </xf>
    <xf numFmtId="0" fontId="0" fillId="7" borderId="17" xfId="0" applyFill="1" applyBorder="1" applyAlignment="1">
      <alignment horizontal="center"/>
    </xf>
    <xf numFmtId="0" fontId="8" fillId="2" borderId="39" xfId="0" applyFont="1" applyFill="1" applyBorder="1" applyAlignment="1">
      <alignment horizontal="left"/>
    </xf>
    <xf numFmtId="0" fontId="8" fillId="2" borderId="41" xfId="0" applyFont="1" applyFill="1" applyBorder="1" applyAlignment="1">
      <alignment horizontal="left"/>
    </xf>
    <xf numFmtId="0" fontId="8" fillId="6" borderId="39" xfId="0" applyFont="1" applyFill="1" applyBorder="1" applyAlignment="1">
      <alignment horizontal="left"/>
    </xf>
    <xf numFmtId="0" fontId="8" fillId="6" borderId="41" xfId="0" applyFont="1" applyFill="1" applyBorder="1" applyAlignment="1">
      <alignment horizontal="left"/>
    </xf>
    <xf numFmtId="0" fontId="0" fillId="5" borderId="46" xfId="0" applyFill="1" applyBorder="1" applyAlignment="1">
      <alignment horizontal="left" vertical="top"/>
    </xf>
    <xf numFmtId="0" fontId="0" fillId="5" borderId="47" xfId="0" applyFill="1" applyBorder="1" applyAlignment="1">
      <alignment horizontal="left" vertical="top"/>
    </xf>
    <xf numFmtId="0" fontId="0" fillId="5" borderId="48" xfId="0" applyFill="1" applyBorder="1" applyAlignment="1">
      <alignment horizontal="left" vertical="top"/>
    </xf>
    <xf numFmtId="0" fontId="0" fillId="5" borderId="52" xfId="0" applyFill="1" applyBorder="1" applyAlignment="1">
      <alignment horizontal="left" vertical="top"/>
    </xf>
    <xf numFmtId="0" fontId="0" fillId="9" borderId="46" xfId="0" applyFill="1" applyBorder="1" applyAlignment="1">
      <alignment horizontal="left" vertical="top"/>
    </xf>
    <xf numFmtId="0" fontId="0" fillId="9" borderId="47" xfId="0" applyFill="1" applyBorder="1" applyAlignment="1">
      <alignment horizontal="left" vertical="top"/>
    </xf>
    <xf numFmtId="0" fontId="0" fillId="9" borderId="48" xfId="0" applyFill="1" applyBorder="1" applyAlignment="1">
      <alignment horizontal="left" vertical="top"/>
    </xf>
    <xf numFmtId="0" fontId="0" fillId="9" borderId="52" xfId="0" applyFill="1" applyBorder="1" applyAlignment="1">
      <alignment horizontal="left" vertical="top"/>
    </xf>
    <xf numFmtId="0" fontId="0" fillId="9" borderId="42" xfId="0" applyFill="1" applyBorder="1" applyAlignment="1">
      <alignment horizontal="left" vertical="top" wrapText="1"/>
    </xf>
    <xf numFmtId="0" fontId="0" fillId="9" borderId="43" xfId="0" applyFill="1" applyBorder="1" applyAlignment="1">
      <alignment horizontal="left" vertical="top" wrapText="1"/>
    </xf>
    <xf numFmtId="0" fontId="0" fillId="5" borderId="42" xfId="0" applyFill="1" applyBorder="1" applyAlignment="1">
      <alignment horizontal="left" vertical="top" wrapText="1"/>
    </xf>
    <xf numFmtId="0" fontId="0" fillId="5" borderId="46" xfId="0" applyFill="1" applyBorder="1" applyAlignment="1">
      <alignment horizontal="left" vertical="top" wrapText="1"/>
    </xf>
    <xf numFmtId="0" fontId="0" fillId="5" borderId="43" xfId="0" applyFill="1" applyBorder="1" applyAlignment="1">
      <alignment horizontal="left" vertical="top" wrapText="1"/>
    </xf>
    <xf numFmtId="0" fontId="10" fillId="17" borderId="42" xfId="0" applyFont="1" applyFill="1" applyBorder="1" applyAlignment="1">
      <alignment horizontal="left" vertical="top" wrapText="1"/>
    </xf>
    <xf numFmtId="0" fontId="10" fillId="17" borderId="43" xfId="0" applyFont="1" applyFill="1" applyBorder="1" applyAlignment="1">
      <alignment horizontal="left" vertical="top" wrapText="1"/>
    </xf>
    <xf numFmtId="0" fontId="8" fillId="13" borderId="39" xfId="0" applyFont="1" applyFill="1" applyBorder="1" applyAlignment="1">
      <alignment horizontal="left"/>
    </xf>
    <xf numFmtId="0" fontId="8" fillId="13" borderId="41" xfId="0" applyFont="1" applyFill="1" applyBorder="1" applyAlignment="1">
      <alignment horizontal="left"/>
    </xf>
    <xf numFmtId="0" fontId="0" fillId="9" borderId="46" xfId="0" applyFill="1" applyBorder="1" applyAlignment="1">
      <alignment horizontal="left" vertical="top" wrapText="1"/>
    </xf>
    <xf numFmtId="0" fontId="10" fillId="17" borderId="54" xfId="0" applyFont="1" applyFill="1" applyBorder="1" applyAlignment="1">
      <alignment horizontal="left" vertical="top" wrapText="1"/>
    </xf>
    <xf numFmtId="0" fontId="10" fillId="17" borderId="5" xfId="0" applyFont="1" applyFill="1" applyBorder="1" applyAlignment="1">
      <alignment horizontal="left" vertical="top" wrapText="1"/>
    </xf>
    <xf numFmtId="0" fontId="10" fillId="17" borderId="8" xfId="0" applyFont="1" applyFill="1" applyBorder="1" applyAlignment="1">
      <alignment horizontal="left" vertical="top" wrapText="1"/>
    </xf>
    <xf numFmtId="0" fontId="4" fillId="15" borderId="31" xfId="0" applyFont="1" applyFill="1" applyBorder="1" applyAlignment="1">
      <alignment horizontal="left"/>
    </xf>
    <xf numFmtId="0" fontId="4" fillId="15" borderId="32" xfId="0" applyFont="1" applyFill="1" applyBorder="1" applyAlignment="1">
      <alignment horizontal="left"/>
    </xf>
    <xf numFmtId="0" fontId="4" fillId="19" borderId="32" xfId="0" applyFont="1" applyFill="1" applyBorder="1" applyAlignment="1">
      <alignment horizontal="center"/>
    </xf>
    <xf numFmtId="0" fontId="4" fillId="19" borderId="33" xfId="0" applyFont="1" applyFill="1" applyBorder="1" applyAlignment="1">
      <alignment horizontal="center"/>
    </xf>
    <xf numFmtId="0" fontId="0" fillId="9" borderId="47" xfId="0" applyFill="1" applyBorder="1" applyAlignment="1">
      <alignment horizontal="left" vertical="top" wrapText="1"/>
    </xf>
    <xf numFmtId="0" fontId="0" fillId="9" borderId="48" xfId="0" applyFill="1" applyBorder="1" applyAlignment="1">
      <alignment horizontal="left" vertical="top" wrapText="1"/>
    </xf>
    <xf numFmtId="0" fontId="8" fillId="6" borderId="1" xfId="0" applyFont="1" applyFill="1" applyBorder="1" applyAlignment="1">
      <alignment horizontal="left"/>
    </xf>
    <xf numFmtId="0" fontId="8" fillId="6" borderId="3" xfId="0" applyFont="1" applyFill="1" applyBorder="1" applyAlignment="1">
      <alignment horizontal="left"/>
    </xf>
    <xf numFmtId="0" fontId="10" fillId="17" borderId="46" xfId="0" applyFont="1" applyFill="1" applyBorder="1" applyAlignment="1">
      <alignment horizontal="left" vertical="top" wrapText="1"/>
    </xf>
    <xf numFmtId="0" fontId="10" fillId="17" borderId="47" xfId="0" applyFont="1" applyFill="1" applyBorder="1" applyAlignment="1">
      <alignment horizontal="left" vertical="top" wrapText="1"/>
    </xf>
    <xf numFmtId="0" fontId="24" fillId="13" borderId="0" xfId="0" applyFont="1" applyFill="1" applyAlignment="1">
      <alignment horizontal="left"/>
    </xf>
    <xf numFmtId="0" fontId="23" fillId="13" borderId="0" xfId="0" applyFont="1" applyFill="1" applyAlignment="1">
      <alignment horizontal="left" vertical="top"/>
    </xf>
    <xf numFmtId="0" fontId="23" fillId="16" borderId="0" xfId="0" applyFont="1" applyFill="1" applyAlignment="1">
      <alignment horizontal="center" vertical="top"/>
    </xf>
    <xf numFmtId="0" fontId="9" fillId="16" borderId="0" xfId="0" applyFont="1" applyFill="1" applyAlignment="1">
      <alignment horizontal="left"/>
    </xf>
    <xf numFmtId="0" fontId="1" fillId="13" borderId="31" xfId="0" applyFont="1" applyFill="1" applyBorder="1" applyAlignment="1">
      <alignment horizontal="right"/>
    </xf>
    <xf numFmtId="0" fontId="1" fillId="13" borderId="32" xfId="0" applyFont="1" applyFill="1" applyBorder="1" applyAlignment="1">
      <alignment horizontal="right"/>
    </xf>
    <xf numFmtId="0" fontId="0" fillId="6" borderId="9" xfId="0" applyFill="1" applyBorder="1" applyAlignment="1">
      <alignment horizontal="center"/>
    </xf>
    <xf numFmtId="0" fontId="0" fillId="6" borderId="36" xfId="0" applyFill="1" applyBorder="1" applyAlignment="1">
      <alignment horizontal="center"/>
    </xf>
    <xf numFmtId="0" fontId="0" fillId="2" borderId="9" xfId="0" applyFill="1" applyBorder="1" applyAlignment="1">
      <alignment horizontal="center"/>
    </xf>
    <xf numFmtId="0" fontId="0" fillId="2" borderId="36" xfId="0" applyFill="1" applyBorder="1" applyAlignment="1">
      <alignment horizontal="center"/>
    </xf>
    <xf numFmtId="0" fontId="0" fillId="4" borderId="15" xfId="0" applyFill="1" applyBorder="1" applyAlignment="1">
      <alignment horizontal="center"/>
    </xf>
    <xf numFmtId="0" fontId="0" fillId="4" borderId="16" xfId="0" applyFill="1" applyBorder="1" applyAlignment="1">
      <alignment horizontal="center"/>
    </xf>
    <xf numFmtId="0" fontId="0" fillId="3" borderId="31" xfId="0" applyFill="1" applyBorder="1" applyAlignment="1">
      <alignment horizontal="center"/>
    </xf>
    <xf numFmtId="0" fontId="0" fillId="3" borderId="55" xfId="0" applyFill="1" applyBorder="1" applyAlignment="1">
      <alignment horizontal="center"/>
    </xf>
    <xf numFmtId="0" fontId="0" fillId="3" borderId="1" xfId="0" applyFill="1" applyBorder="1" applyAlignment="1">
      <alignment horizontal="center"/>
    </xf>
    <xf numFmtId="0" fontId="0" fillId="7" borderId="31" xfId="0" applyFill="1" applyBorder="1" applyAlignment="1">
      <alignment horizontal="center"/>
    </xf>
    <xf numFmtId="0" fontId="0" fillId="7" borderId="55" xfId="0" applyFill="1" applyBorder="1" applyAlignment="1">
      <alignment horizontal="center"/>
    </xf>
    <xf numFmtId="0" fontId="0" fillId="7" borderId="1" xfId="0" applyFill="1" applyBorder="1" applyAlignment="1">
      <alignment horizontal="center"/>
    </xf>
    <xf numFmtId="0" fontId="0" fillId="4" borderId="15" xfId="0" applyFill="1" applyBorder="1" applyAlignment="1">
      <alignment horizontal="center" wrapText="1"/>
    </xf>
    <xf numFmtId="0" fontId="0" fillId="4" borderId="16" xfId="0" applyFill="1" applyBorder="1" applyAlignment="1">
      <alignment horizontal="center" wrapText="1"/>
    </xf>
    <xf numFmtId="0" fontId="0" fillId="4" borderId="17" xfId="0" applyFill="1" applyBorder="1" applyAlignment="1">
      <alignment horizontal="center" wrapText="1"/>
    </xf>
    <xf numFmtId="0" fontId="0" fillId="8" borderId="15" xfId="0" applyFill="1" applyBorder="1" applyAlignment="1">
      <alignment horizontal="center" wrapText="1"/>
    </xf>
    <xf numFmtId="0" fontId="0" fillId="8" borderId="16" xfId="0" applyFill="1" applyBorder="1" applyAlignment="1">
      <alignment horizontal="center" wrapText="1"/>
    </xf>
    <xf numFmtId="0" fontId="0" fillId="8" borderId="17" xfId="0" applyFill="1" applyBorder="1" applyAlignment="1">
      <alignment horizontal="center" wrapText="1"/>
    </xf>
    <xf numFmtId="0" fontId="0" fillId="8" borderId="15" xfId="0" applyFill="1" applyBorder="1" applyAlignment="1">
      <alignment horizontal="center"/>
    </xf>
    <xf numFmtId="0" fontId="0" fillId="8" borderId="16" xfId="0" applyFill="1" applyBorder="1" applyAlignment="1">
      <alignment horizontal="center"/>
    </xf>
    <xf numFmtId="0" fontId="0" fillId="4" borderId="17" xfId="0" applyFill="1" applyBorder="1" applyAlignment="1">
      <alignment horizontal="center"/>
    </xf>
    <xf numFmtId="0" fontId="0" fillId="8" borderId="17" xfId="0" applyFill="1" applyBorder="1" applyAlignment="1">
      <alignment horizontal="center"/>
    </xf>
    <xf numFmtId="0" fontId="0" fillId="3" borderId="25" xfId="0" applyFill="1" applyBorder="1" applyAlignment="1">
      <alignment horizontal="center"/>
    </xf>
    <xf numFmtId="0" fontId="0" fillId="3" borderId="27" xfId="0" applyFill="1" applyBorder="1" applyAlignment="1">
      <alignment horizontal="center"/>
    </xf>
    <xf numFmtId="0" fontId="0" fillId="2" borderId="1" xfId="0" applyFill="1" applyBorder="1" applyAlignment="1">
      <alignment horizontal="center"/>
    </xf>
    <xf numFmtId="0" fontId="4" fillId="11" borderId="35" xfId="0" applyFont="1" applyFill="1" applyBorder="1" applyAlignment="1">
      <alignment horizontal="center" textRotation="90"/>
    </xf>
    <xf numFmtId="0" fontId="4" fillId="11" borderId="9" xfId="0" applyFont="1" applyFill="1" applyBorder="1" applyAlignment="1">
      <alignment horizontal="center" textRotation="90"/>
    </xf>
    <xf numFmtId="0" fontId="4" fillId="11" borderId="36" xfId="0" applyFont="1" applyFill="1" applyBorder="1" applyAlignment="1">
      <alignment horizontal="center" textRotation="90"/>
    </xf>
    <xf numFmtId="0" fontId="1" fillId="2" borderId="69" xfId="0" applyFont="1" applyFill="1" applyBorder="1" applyAlignment="1">
      <alignment horizontal="center"/>
    </xf>
    <xf numFmtId="0" fontId="1" fillId="2" borderId="61" xfId="0" applyFont="1" applyFill="1" applyBorder="1" applyAlignment="1">
      <alignment horizontal="center"/>
    </xf>
    <xf numFmtId="0" fontId="0" fillId="7" borderId="4" xfId="0" applyFill="1" applyBorder="1" applyAlignment="1">
      <alignment horizontal="center"/>
    </xf>
    <xf numFmtId="0" fontId="0" fillId="7" borderId="5" xfId="0" applyFill="1" applyBorder="1" applyAlignment="1">
      <alignment horizontal="center"/>
    </xf>
    <xf numFmtId="0" fontId="4" fillId="12" borderId="35" xfId="0" applyFont="1" applyFill="1" applyBorder="1" applyAlignment="1">
      <alignment horizontal="center" textRotation="90"/>
    </xf>
    <xf numFmtId="0" fontId="4" fillId="12" borderId="9" xfId="0" applyFont="1" applyFill="1" applyBorder="1" applyAlignment="1">
      <alignment horizontal="center" textRotation="90"/>
    </xf>
    <xf numFmtId="0" fontId="4" fillId="12" borderId="36" xfId="0" applyFont="1" applyFill="1" applyBorder="1" applyAlignment="1">
      <alignment horizontal="center" textRotation="90"/>
    </xf>
    <xf numFmtId="0" fontId="1" fillId="13" borderId="32" xfId="0" applyFont="1" applyFill="1" applyBorder="1" applyAlignment="1">
      <alignment horizontal="center"/>
    </xf>
    <xf numFmtId="0" fontId="1" fillId="6" borderId="61" xfId="0" applyFont="1" applyFill="1" applyBorder="1" applyAlignment="1">
      <alignment horizontal="center"/>
    </xf>
    <xf numFmtId="0" fontId="1" fillId="6" borderId="69" xfId="0" applyFont="1" applyFill="1" applyBorder="1" applyAlignment="1">
      <alignment horizontal="center"/>
    </xf>
    <xf numFmtId="0" fontId="1" fillId="6" borderId="4" xfId="0" applyFont="1" applyFill="1" applyBorder="1" applyAlignment="1">
      <alignment horizontal="center"/>
    </xf>
    <xf numFmtId="0" fontId="1" fillId="6" borderId="0" xfId="0" applyFont="1" applyFill="1" applyAlignment="1">
      <alignment horizontal="center"/>
    </xf>
    <xf numFmtId="0" fontId="0" fillId="14" borderId="11" xfId="0" applyFill="1" applyBorder="1" applyAlignment="1">
      <alignment horizontal="center"/>
    </xf>
    <xf numFmtId="0" fontId="0" fillId="14" borderId="13" xfId="0" applyFill="1" applyBorder="1" applyAlignment="1">
      <alignment horizontal="center"/>
    </xf>
    <xf numFmtId="0" fontId="0" fillId="14" borderId="12" xfId="0" applyFill="1" applyBorder="1" applyAlignment="1">
      <alignment horizontal="center"/>
    </xf>
    <xf numFmtId="0" fontId="6" fillId="13" borderId="1" xfId="0" applyFont="1" applyFill="1" applyBorder="1" applyAlignment="1">
      <alignment horizontal="left"/>
    </xf>
    <xf numFmtId="0" fontId="6" fillId="13" borderId="2" xfId="0" applyFont="1" applyFill="1" applyBorder="1" applyAlignment="1">
      <alignment horizontal="left"/>
    </xf>
    <xf numFmtId="0" fontId="6" fillId="13" borderId="3" xfId="0" applyFont="1" applyFill="1" applyBorder="1" applyAlignment="1">
      <alignment horizontal="left"/>
    </xf>
    <xf numFmtId="0" fontId="0" fillId="3" borderId="76" xfId="0" applyFill="1" applyBorder="1" applyAlignment="1">
      <alignment horizontal="center"/>
    </xf>
    <xf numFmtId="0" fontId="0" fillId="3" borderId="54" xfId="0" applyFill="1" applyBorder="1" applyAlignment="1">
      <alignment horizontal="center"/>
    </xf>
    <xf numFmtId="0" fontId="1" fillId="13" borderId="32" xfId="0" applyFont="1" applyFill="1" applyBorder="1" applyAlignment="1"/>
    <xf numFmtId="0" fontId="0" fillId="10" borderId="0" xfId="0" applyFill="1" applyBorder="1"/>
    <xf numFmtId="0" fontId="0" fillId="0" borderId="0" xfId="0" applyBorder="1"/>
    <xf numFmtId="0" fontId="0" fillId="7" borderId="25" xfId="0" applyFill="1" applyBorder="1" applyAlignment="1">
      <alignment horizontal="center"/>
    </xf>
    <xf numFmtId="0" fontId="0" fillId="7" borderId="27" xfId="0" applyFill="1" applyBorder="1" applyAlignment="1">
      <alignment horizontal="center"/>
    </xf>
    <xf numFmtId="0" fontId="0" fillId="7" borderId="76" xfId="0" applyFill="1" applyBorder="1" applyAlignment="1">
      <alignment horizontal="center"/>
    </xf>
    <xf numFmtId="0" fontId="0" fillId="7" borderId="54"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CSE Planned</a:t>
            </a:r>
            <a:r>
              <a:rPr lang="en-CA" baseline="0"/>
              <a:t> Activity Hours / Person</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32-4E01-8330-655A707294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A32-4E01-8330-655A707294D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A32-4E01-8330-655A707294D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A32-4E01-8330-655A707294D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A32-4E01-8330-655A707294D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A32-4E01-8330-655A707294D3}"/>
              </c:ext>
            </c:extLst>
          </c:dPt>
          <c:cat>
            <c:strLit>
              <c:ptCount val="6"/>
              <c:pt idx="0">
                <c:v>Maintenance</c:v>
              </c:pt>
              <c:pt idx="1">
                <c:v>Gym time</c:v>
              </c:pt>
              <c:pt idx="2">
                <c:v>Team Training </c:v>
              </c:pt>
              <c:pt idx="3">
                <c:v>Admin</c:v>
              </c:pt>
              <c:pt idx="4">
                <c:v>Team Event</c:v>
              </c:pt>
              <c:pt idx="5">
                <c:v>Training</c:v>
              </c:pt>
            </c:strLit>
          </c:cat>
          <c:val>
            <c:numLit>
              <c:formatCode>General</c:formatCode>
              <c:ptCount val="6"/>
              <c:pt idx="0">
                <c:v>25</c:v>
              </c:pt>
              <c:pt idx="1">
                <c:v>4</c:v>
              </c:pt>
              <c:pt idx="2">
                <c:v>0</c:v>
              </c:pt>
              <c:pt idx="3">
                <c:v>0</c:v>
              </c:pt>
              <c:pt idx="4">
                <c:v>1</c:v>
              </c:pt>
              <c:pt idx="5">
                <c:v>5</c:v>
              </c:pt>
            </c:numLit>
          </c:val>
          <c:extLst>
            <c:ext xmlns:c16="http://schemas.microsoft.com/office/drawing/2014/chart" uri="{C3380CC4-5D6E-409C-BE32-E72D297353CC}">
              <c16:uniqueId val="{0000000C-DA32-4E01-8330-655A707294D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MSE Actual Hours</a:t>
            </a:r>
          </a:p>
        </c:rich>
      </c:tx>
      <c:overlay val="0"/>
      <c:spPr>
        <a:noFill/>
        <a:ln>
          <a:noFill/>
        </a:ln>
        <a:effectLst/>
      </c:spPr>
    </c:title>
    <c:autoTitleDeleted val="0"/>
    <c:plotArea>
      <c:layout/>
      <c:pieChart>
        <c:varyColors val="1"/>
        <c:ser>
          <c:idx val="1"/>
          <c:order val="0"/>
          <c:cat>
            <c:strLit>
              <c:ptCount val="3"/>
              <c:pt idx="0">
                <c:v>PM</c:v>
              </c:pt>
              <c:pt idx="1">
                <c:v>PM MBS</c:v>
              </c:pt>
              <c:pt idx="2">
                <c:v>CM</c:v>
              </c:pt>
            </c:strLit>
          </c:cat>
          <c:val>
            <c:numLit>
              <c:formatCode>General</c:formatCode>
              <c:ptCount val="3"/>
              <c:pt idx="0">
                <c:v>53</c:v>
              </c:pt>
              <c:pt idx="1">
                <c:v>0</c:v>
              </c:pt>
              <c:pt idx="2">
                <c:v>0</c:v>
              </c:pt>
            </c:numLit>
          </c:val>
          <c:extLst>
            <c:ext xmlns:c16="http://schemas.microsoft.com/office/drawing/2014/chart" uri="{C3380CC4-5D6E-409C-BE32-E72D297353CC}">
              <c16:uniqueId val="{00000000-41FD-4C3F-94B3-54A3C740F06F}"/>
            </c:ext>
          </c:extLst>
        </c:ser>
        <c:ser>
          <c:idx val="0"/>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2-41FD-4C3F-94B3-54A3C740F0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41FD-4C3F-94B3-54A3C740F0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41FD-4C3F-94B3-54A3C740F06F}"/>
              </c:ext>
            </c:extLst>
          </c:dPt>
          <c:cat>
            <c:strLit>
              <c:ptCount val="3"/>
              <c:pt idx="0">
                <c:v>PM</c:v>
              </c:pt>
              <c:pt idx="1">
                <c:v>PM MBS</c:v>
              </c:pt>
              <c:pt idx="2">
                <c:v>CM</c:v>
              </c:pt>
            </c:strLit>
          </c:cat>
          <c:val>
            <c:numLit>
              <c:formatCode>General</c:formatCode>
              <c:ptCount val="3"/>
              <c:pt idx="0">
                <c:v>78</c:v>
              </c:pt>
              <c:pt idx="1">
                <c:v>0</c:v>
              </c:pt>
              <c:pt idx="2">
                <c:v>0</c:v>
              </c:pt>
            </c:numLit>
          </c:val>
          <c:extLst>
            <c:ext xmlns:c16="http://schemas.microsoft.com/office/drawing/2014/chart" uri="{C3380CC4-5D6E-409C-BE32-E72D297353CC}">
              <c16:uniqueId val="{00000007-41FD-4C3F-94B3-54A3C740F06F}"/>
            </c:ext>
          </c:extLst>
        </c:ser>
        <c:dLbls>
          <c:showLegendKey val="0"/>
          <c:showVal val="0"/>
          <c:showCatName val="0"/>
          <c:showSerName val="0"/>
          <c:showPercent val="0"/>
          <c:showBubbleSize val="0"/>
          <c:showLeaderLines val="1"/>
        </c:dLbls>
        <c:firstSliceAng val="0"/>
      </c:pie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400" b="0" i="0" u="none" strike="noStrike" kern="1200" spc="0" baseline="0">
                <a:solidFill>
                  <a:sysClr val="windowText" lastClr="000000">
                    <a:lumMod val="65000"/>
                    <a:lumOff val="35000"/>
                  </a:sysClr>
                </a:solidFill>
              </a:rPr>
              <a:t>MSE Planned Activity Hours / Person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1A-4CCF-8EEA-FC240F3F186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1A-4CCF-8EEA-FC240F3F186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1A-4CCF-8EEA-FC240F3F186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D1A-4CCF-8EEA-FC240F3F186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D1A-4CCF-8EEA-FC240F3F186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D1A-4CCF-8EEA-FC240F3F1868}"/>
              </c:ext>
            </c:extLst>
          </c:dPt>
          <c:cat>
            <c:strLit>
              <c:ptCount val="6"/>
              <c:pt idx="0">
                <c:v>Maintenance</c:v>
              </c:pt>
              <c:pt idx="1">
                <c:v>Gym time</c:v>
              </c:pt>
              <c:pt idx="2">
                <c:v>Team Training </c:v>
              </c:pt>
              <c:pt idx="3">
                <c:v>Admin</c:v>
              </c:pt>
              <c:pt idx="4">
                <c:v>Team Event</c:v>
              </c:pt>
              <c:pt idx="5">
                <c:v>Training</c:v>
              </c:pt>
            </c:strLit>
          </c:cat>
          <c:val>
            <c:numLit>
              <c:formatCode>General</c:formatCode>
              <c:ptCount val="6"/>
              <c:pt idx="0">
                <c:v>10</c:v>
              </c:pt>
              <c:pt idx="1">
                <c:v>4</c:v>
              </c:pt>
              <c:pt idx="2">
                <c:v>0</c:v>
              </c:pt>
              <c:pt idx="3">
                <c:v>1</c:v>
              </c:pt>
              <c:pt idx="4">
                <c:v>0</c:v>
              </c:pt>
              <c:pt idx="5">
                <c:v>20</c:v>
              </c:pt>
            </c:numLit>
          </c:val>
          <c:extLst>
            <c:ext xmlns:c16="http://schemas.microsoft.com/office/drawing/2014/chart" uri="{C3380CC4-5D6E-409C-BE32-E72D297353CC}">
              <c16:uniqueId val="{0000000C-DD1A-4CCF-8EEA-FC240F3F186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CSE Actual Hours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FE9-4AF1-AA03-24AA8734ED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FE9-4AF1-AA03-24AA8734ED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FE9-4AF1-AA03-24AA8734EDAF}"/>
              </c:ext>
            </c:extLst>
          </c:dPt>
          <c:cat>
            <c:strLit>
              <c:ptCount val="3"/>
              <c:pt idx="0">
                <c:v>PM</c:v>
              </c:pt>
              <c:pt idx="1">
                <c:v>PM MBS</c:v>
              </c:pt>
              <c:pt idx="2">
                <c:v>CM</c:v>
              </c:pt>
            </c:strLit>
          </c:cat>
          <c:val>
            <c:numLit>
              <c:formatCode>General</c:formatCode>
              <c:ptCount val="3"/>
              <c:pt idx="0">
                <c:v>78</c:v>
              </c:pt>
              <c:pt idx="1">
                <c:v>0</c:v>
              </c:pt>
              <c:pt idx="2">
                <c:v>0</c:v>
              </c:pt>
            </c:numLit>
          </c:val>
          <c:extLst>
            <c:ext xmlns:c16="http://schemas.microsoft.com/office/drawing/2014/chart" uri="{C3380CC4-5D6E-409C-BE32-E72D297353CC}">
              <c16:uniqueId val="{00000006-5FE9-4AF1-AA03-24AA8734EDA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CSE Planned</a:t>
            </a:r>
            <a:r>
              <a:rPr lang="en-CA" baseline="0"/>
              <a:t> Activity Hours / Person</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1C-47A6-A307-68E916FA222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11C-47A6-A307-68E916FA222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11C-47A6-A307-68E916FA222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1C-47A6-A307-68E916FA222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11C-47A6-A307-68E916FA222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11C-47A6-A307-68E916FA222F}"/>
              </c:ext>
            </c:extLst>
          </c:dPt>
          <c:cat>
            <c:strRef>
              <c:f>MonthReportCSE!$C$15:$H$15</c:f>
              <c:strCache>
                <c:ptCount val="6"/>
                <c:pt idx="0">
                  <c:v>Maintenance</c:v>
                </c:pt>
                <c:pt idx="1">
                  <c:v>Gym time</c:v>
                </c:pt>
                <c:pt idx="2">
                  <c:v>Team Training </c:v>
                </c:pt>
                <c:pt idx="3">
                  <c:v>Admin</c:v>
                </c:pt>
                <c:pt idx="4">
                  <c:v>Team Event</c:v>
                </c:pt>
                <c:pt idx="5">
                  <c:v>Training</c:v>
                </c:pt>
              </c:strCache>
            </c:strRef>
          </c:cat>
          <c:val>
            <c:numRef>
              <c:f>MonthReportCSE!$C$16:$H$16</c:f>
              <c:numCache>
                <c:formatCode>General</c:formatCode>
                <c:ptCount val="6"/>
              </c:numCache>
            </c:numRef>
          </c:val>
          <c:extLst>
            <c:ext xmlns:c16="http://schemas.microsoft.com/office/drawing/2014/chart" uri="{C3380CC4-5D6E-409C-BE32-E72D297353CC}">
              <c16:uniqueId val="{0000000C-611C-47A6-A307-68E916FA222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CSE Actual Hours</a:t>
            </a:r>
          </a:p>
        </c:rich>
      </c:tx>
      <c:overlay val="0"/>
      <c:spPr>
        <a:noFill/>
        <a:ln>
          <a:noFill/>
        </a:ln>
        <a:effectLst/>
      </c:spPr>
    </c:title>
    <c:autoTitleDeleted val="0"/>
    <c:plotArea>
      <c:layout/>
      <c:pieChart>
        <c:varyColors val="1"/>
        <c:ser>
          <c:idx val="1"/>
          <c:order val="0"/>
          <c:cat>
            <c:strRef>
              <c:f>MonthReportCSE!$G$5:$G$7</c:f>
              <c:strCache>
                <c:ptCount val="3"/>
                <c:pt idx="0">
                  <c:v>PM</c:v>
                </c:pt>
                <c:pt idx="1">
                  <c:v>PM MBS</c:v>
                </c:pt>
                <c:pt idx="2">
                  <c:v>CM</c:v>
                </c:pt>
              </c:strCache>
            </c:strRef>
          </c:cat>
          <c:val>
            <c:numRef>
              <c:f>MonthReportCSE!$H$5:$H$7</c:f>
              <c:numCache>
                <c:formatCode>General</c:formatCode>
                <c:ptCount val="3"/>
              </c:numCache>
            </c:numRef>
          </c:val>
          <c:extLst>
            <c:ext xmlns:c16="http://schemas.microsoft.com/office/drawing/2014/chart" uri="{C3380CC4-5D6E-409C-BE32-E72D297353CC}">
              <c16:uniqueId val="{00000000-439B-404E-9338-AC213F890DDF}"/>
            </c:ext>
          </c:extLst>
        </c:ser>
        <c:dLbls>
          <c:showLegendKey val="0"/>
          <c:showVal val="0"/>
          <c:showCatName val="0"/>
          <c:showSerName val="0"/>
          <c:showPercent val="0"/>
          <c:showBubbleSize val="0"/>
          <c:showLeaderLines val="1"/>
        </c:dLbls>
        <c:firstSliceAng val="0"/>
      </c:pieChart>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MSE Planned</a:t>
            </a:r>
            <a:r>
              <a:rPr lang="en-CA" baseline="0"/>
              <a:t> Activity Hours / Person</a:t>
            </a:r>
            <a:endParaRPr lang="en-CA"/>
          </a:p>
        </c:rich>
      </c:tx>
      <c:layout>
        <c:manualLayout>
          <c:xMode val="edge"/>
          <c:yMode val="edge"/>
          <c:x val="0.20974300087489067"/>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AC2-4FC6-BDC8-9068E20305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AC2-4FC6-BDC8-9068E20305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AC2-4FC6-BDC8-9068E20305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AC2-4FC6-BDC8-9068E20305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AC2-4FC6-BDC8-9068E20305C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AC2-4FC6-BDC8-9068E20305C6}"/>
              </c:ext>
            </c:extLst>
          </c:dPt>
          <c:cat>
            <c:strRef>
              <c:f>MonthReportMSE!$C$15:$H$15</c:f>
              <c:strCache>
                <c:ptCount val="6"/>
                <c:pt idx="0">
                  <c:v>Maintenance</c:v>
                </c:pt>
                <c:pt idx="1">
                  <c:v>Gym time</c:v>
                </c:pt>
                <c:pt idx="2">
                  <c:v>Team Training </c:v>
                </c:pt>
                <c:pt idx="3">
                  <c:v>Admin</c:v>
                </c:pt>
                <c:pt idx="4">
                  <c:v>Team Event</c:v>
                </c:pt>
                <c:pt idx="5">
                  <c:v>Training</c:v>
                </c:pt>
              </c:strCache>
            </c:strRef>
          </c:cat>
          <c:val>
            <c:numRef>
              <c:f>MonthReportMSE!$C$16:$H$16</c:f>
              <c:numCache>
                <c:formatCode>General</c:formatCode>
                <c:ptCount val="6"/>
              </c:numCache>
            </c:numRef>
          </c:val>
          <c:extLst>
            <c:ext xmlns:c16="http://schemas.microsoft.com/office/drawing/2014/chart" uri="{C3380CC4-5D6E-409C-BE32-E72D297353CC}">
              <c16:uniqueId val="{0000000C-1AC2-4FC6-BDC8-9068E20305C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MSE Actual Hours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C4-4E1F-98FB-A8C36FAFA3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C4-4E1F-98FB-A8C36FAFA3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1C4-4E1F-98FB-A8C36FAFA3B8}"/>
              </c:ext>
            </c:extLst>
          </c:dPt>
          <c:cat>
            <c:strRef>
              <c:f>MonthReportMSE!$G$5:$G$7</c:f>
              <c:strCache>
                <c:ptCount val="3"/>
                <c:pt idx="0">
                  <c:v>PM</c:v>
                </c:pt>
                <c:pt idx="1">
                  <c:v>PM MBS</c:v>
                </c:pt>
                <c:pt idx="2">
                  <c:v>CM</c:v>
                </c:pt>
              </c:strCache>
            </c:strRef>
          </c:cat>
          <c:val>
            <c:numRef>
              <c:f>MonthReportMSE!$H$5:$H$7</c:f>
              <c:numCache>
                <c:formatCode>General</c:formatCode>
                <c:ptCount val="3"/>
              </c:numCache>
            </c:numRef>
          </c:val>
          <c:extLst>
            <c:ext xmlns:c16="http://schemas.microsoft.com/office/drawing/2014/chart" uri="{C3380CC4-5D6E-409C-BE32-E72D297353CC}">
              <c16:uniqueId val="{00000006-81C4-4E1F-98FB-A8C36FAFA3B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CSE Planned</a:t>
            </a:r>
            <a:r>
              <a:rPr lang="en-CA" baseline="0"/>
              <a:t> Activity Hours / Person</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AB-4193-A3EA-471471EF08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AB-4193-A3EA-471471EF08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AB-4193-A3EA-471471EF08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AB-4193-A3EA-471471EF08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CAB-4193-A3EA-471471EF08E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CAB-4193-A3EA-471471EF08E3}"/>
              </c:ext>
            </c:extLst>
          </c:dPt>
          <c:cat>
            <c:strRef>
              <c:f>MonthReportCSE!$C$51:$H$51</c:f>
              <c:strCache>
                <c:ptCount val="6"/>
                <c:pt idx="0">
                  <c:v>Maintenance</c:v>
                </c:pt>
                <c:pt idx="1">
                  <c:v>Gym time</c:v>
                </c:pt>
                <c:pt idx="2">
                  <c:v>Team Training </c:v>
                </c:pt>
                <c:pt idx="3">
                  <c:v>Admin</c:v>
                </c:pt>
                <c:pt idx="4">
                  <c:v>Team Event</c:v>
                </c:pt>
                <c:pt idx="5">
                  <c:v>Training</c:v>
                </c:pt>
              </c:strCache>
            </c:strRef>
          </c:cat>
          <c:val>
            <c:numRef>
              <c:f>MonthReportCSE!$C$52:$H$52</c:f>
              <c:numCache>
                <c:formatCode>General</c:formatCode>
                <c:ptCount val="6"/>
              </c:numCache>
            </c:numRef>
          </c:val>
          <c:extLst>
            <c:ext xmlns:c16="http://schemas.microsoft.com/office/drawing/2014/chart" uri="{C3380CC4-5D6E-409C-BE32-E72D297353CC}">
              <c16:uniqueId val="{0000000C-2CAB-4193-A3EA-471471EF08E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MSE Planned</a:t>
            </a:r>
            <a:r>
              <a:rPr lang="en-CA" baseline="0"/>
              <a:t> Activity Hours / Person</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60-4F4E-B6D0-52662403834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60-4F4E-B6D0-5266240383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260-4F4E-B6D0-5266240383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260-4F4E-B6D0-5266240383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260-4F4E-B6D0-5266240383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260-4F4E-B6D0-526624038347}"/>
              </c:ext>
            </c:extLst>
          </c:dPt>
          <c:cat>
            <c:strRef>
              <c:f>MonthReportMSE!$C$51:$H$51</c:f>
              <c:strCache>
                <c:ptCount val="6"/>
                <c:pt idx="0">
                  <c:v>Maintenance</c:v>
                </c:pt>
                <c:pt idx="1">
                  <c:v>Gym time</c:v>
                </c:pt>
                <c:pt idx="2">
                  <c:v>Team Training </c:v>
                </c:pt>
                <c:pt idx="3">
                  <c:v>Admin</c:v>
                </c:pt>
                <c:pt idx="4">
                  <c:v>Team Event</c:v>
                </c:pt>
                <c:pt idx="5">
                  <c:v>Training</c:v>
                </c:pt>
              </c:strCache>
            </c:strRef>
          </c:cat>
          <c:val>
            <c:numRef>
              <c:f>MonthReportMSE!$C$52:$H$52</c:f>
              <c:numCache>
                <c:formatCode>General</c:formatCode>
                <c:ptCount val="6"/>
              </c:numCache>
            </c:numRef>
          </c:val>
          <c:extLst>
            <c:ext xmlns:c16="http://schemas.microsoft.com/office/drawing/2014/chart" uri="{C3380CC4-5D6E-409C-BE32-E72D297353CC}">
              <c16:uniqueId val="{0000000C-B260-4F4E-B6D0-52662403834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CSE Actual</a:t>
            </a:r>
            <a:r>
              <a:rPr lang="en-CA" baseline="0"/>
              <a:t> Hours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88-4D4E-96C7-15C38C591F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88-4D4E-96C7-15C38C591F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88-4D4E-96C7-15C38C591F5A}"/>
              </c:ext>
            </c:extLst>
          </c:dPt>
          <c:cat>
            <c:strRef>
              <c:f>MonthReportCSE!$G$41:$G$43</c:f>
              <c:strCache>
                <c:ptCount val="3"/>
                <c:pt idx="0">
                  <c:v>PM</c:v>
                </c:pt>
                <c:pt idx="1">
                  <c:v>PM MBS</c:v>
                </c:pt>
                <c:pt idx="2">
                  <c:v>CM</c:v>
                </c:pt>
              </c:strCache>
            </c:strRef>
          </c:cat>
          <c:val>
            <c:numRef>
              <c:f>MonthReportCSE!$H$41:$H$43</c:f>
              <c:numCache>
                <c:formatCode>General</c:formatCode>
                <c:ptCount val="3"/>
              </c:numCache>
            </c:numRef>
          </c:val>
          <c:extLst>
            <c:ext xmlns:c16="http://schemas.microsoft.com/office/drawing/2014/chart" uri="{C3380CC4-5D6E-409C-BE32-E72D297353CC}">
              <c16:uniqueId val="{00000006-2C88-4D4E-96C7-15C38C591F5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MSE</a:t>
            </a:r>
            <a:r>
              <a:rPr lang="en-CA" baseline="0"/>
              <a:t> Actual Hours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D3-4EE8-85BB-F0CC7372DFE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D3-4EE8-85BB-F0CC7372DFE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D3-4EE8-85BB-F0CC7372DFEE}"/>
              </c:ext>
            </c:extLst>
          </c:dPt>
          <c:cat>
            <c:strRef>
              <c:f>MonthReportMSE!$G$41:$G$43</c:f>
              <c:strCache>
                <c:ptCount val="3"/>
                <c:pt idx="0">
                  <c:v>PM</c:v>
                </c:pt>
                <c:pt idx="1">
                  <c:v>PM MBS</c:v>
                </c:pt>
                <c:pt idx="2">
                  <c:v>CM</c:v>
                </c:pt>
              </c:strCache>
            </c:strRef>
          </c:cat>
          <c:val>
            <c:numRef>
              <c:f>MonthReportMSE!$H$41:$H$43</c:f>
              <c:numCache>
                <c:formatCode>General</c:formatCode>
                <c:ptCount val="3"/>
              </c:numCache>
            </c:numRef>
          </c:val>
          <c:extLst>
            <c:ext xmlns:c16="http://schemas.microsoft.com/office/drawing/2014/chart" uri="{C3380CC4-5D6E-409C-BE32-E72D297353CC}">
              <c16:uniqueId val="{00000006-3FD3-4EE8-85BB-F0CC7372DFE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3</xdr:row>
          <xdr:rowOff>0</xdr:rowOff>
        </xdr:from>
        <xdr:to>
          <xdr:col>1</xdr:col>
          <xdr:colOff>1371600</xdr:colOff>
          <xdr:row>5</xdr:row>
          <xdr:rowOff>177800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monthly MSE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6</xdr:row>
          <xdr:rowOff>0</xdr:rowOff>
        </xdr:from>
        <xdr:to>
          <xdr:col>1</xdr:col>
          <xdr:colOff>1371600</xdr:colOff>
          <xdr:row>8</xdr:row>
          <xdr:rowOff>177800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yearly MSE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10</xdr:row>
          <xdr:rowOff>0</xdr:rowOff>
        </xdr:from>
        <xdr:to>
          <xdr:col>1</xdr:col>
          <xdr:colOff>1371600</xdr:colOff>
          <xdr:row>12</xdr:row>
          <xdr:rowOff>177800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monthly MSE report to new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13</xdr:row>
          <xdr:rowOff>0</xdr:rowOff>
        </xdr:from>
        <xdr:to>
          <xdr:col>1</xdr:col>
          <xdr:colOff>1371600</xdr:colOff>
          <xdr:row>15</xdr:row>
          <xdr:rowOff>177800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A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yearly MSE report to new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17</xdr:row>
          <xdr:rowOff>0</xdr:rowOff>
        </xdr:from>
        <xdr:to>
          <xdr:col>1</xdr:col>
          <xdr:colOff>1371600</xdr:colOff>
          <xdr:row>19</xdr:row>
          <xdr:rowOff>177800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monthly MSE report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20</xdr:row>
          <xdr:rowOff>0</xdr:rowOff>
        </xdr:from>
        <xdr:to>
          <xdr:col>1</xdr:col>
          <xdr:colOff>1371600</xdr:colOff>
          <xdr:row>22</xdr:row>
          <xdr:rowOff>177800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A00-00000A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yearly MSE report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23</xdr:row>
          <xdr:rowOff>0</xdr:rowOff>
        </xdr:from>
        <xdr:to>
          <xdr:col>1</xdr:col>
          <xdr:colOff>1371600</xdr:colOff>
          <xdr:row>25</xdr:row>
          <xdr:rowOff>177800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MSE 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3</xdr:row>
          <xdr:rowOff>0</xdr:rowOff>
        </xdr:from>
        <xdr:to>
          <xdr:col>7</xdr:col>
          <xdr:colOff>1371600</xdr:colOff>
          <xdr:row>5</xdr:row>
          <xdr:rowOff>177800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monthly CSE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6</xdr:row>
          <xdr:rowOff>0</xdr:rowOff>
        </xdr:from>
        <xdr:to>
          <xdr:col>7</xdr:col>
          <xdr:colOff>1371600</xdr:colOff>
          <xdr:row>8</xdr:row>
          <xdr:rowOff>177800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yearly CSE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10</xdr:row>
          <xdr:rowOff>0</xdr:rowOff>
        </xdr:from>
        <xdr:to>
          <xdr:col>7</xdr:col>
          <xdr:colOff>1371600</xdr:colOff>
          <xdr:row>12</xdr:row>
          <xdr:rowOff>177800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monthly CSE report to new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13</xdr:row>
          <xdr:rowOff>0</xdr:rowOff>
        </xdr:from>
        <xdr:to>
          <xdr:col>7</xdr:col>
          <xdr:colOff>1371600</xdr:colOff>
          <xdr:row>15</xdr:row>
          <xdr:rowOff>177800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yearly CSE report to new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17</xdr:row>
          <xdr:rowOff>0</xdr:rowOff>
        </xdr:from>
        <xdr:to>
          <xdr:col>7</xdr:col>
          <xdr:colOff>1371600</xdr:colOff>
          <xdr:row>19</xdr:row>
          <xdr:rowOff>177800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A00-000010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monthly CSE report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20</xdr:row>
          <xdr:rowOff>0</xdr:rowOff>
        </xdr:from>
        <xdr:to>
          <xdr:col>7</xdr:col>
          <xdr:colOff>1371600</xdr:colOff>
          <xdr:row>22</xdr:row>
          <xdr:rowOff>177800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A00-00001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yearly CSE report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23</xdr:row>
          <xdr:rowOff>0</xdr:rowOff>
        </xdr:from>
        <xdr:to>
          <xdr:col>7</xdr:col>
          <xdr:colOff>1371600</xdr:colOff>
          <xdr:row>25</xdr:row>
          <xdr:rowOff>177800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A00-00001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CSE 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3</xdr:row>
          <xdr:rowOff>0</xdr:rowOff>
        </xdr:from>
        <xdr:to>
          <xdr:col>4</xdr:col>
          <xdr:colOff>1371600</xdr:colOff>
          <xdr:row>5</xdr:row>
          <xdr:rowOff>177800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A00-00001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weekly MSE/ CSE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7</xdr:row>
          <xdr:rowOff>0</xdr:rowOff>
        </xdr:from>
        <xdr:to>
          <xdr:col>4</xdr:col>
          <xdr:colOff>1371600</xdr:colOff>
          <xdr:row>10</xdr:row>
          <xdr:rowOff>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A00-00001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weekly MSE/ CSE report to new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11</xdr:row>
          <xdr:rowOff>0</xdr:rowOff>
        </xdr:from>
        <xdr:to>
          <xdr:col>4</xdr:col>
          <xdr:colOff>1371600</xdr:colOff>
          <xdr:row>13</xdr:row>
          <xdr:rowOff>177800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A00-00001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weekly MSE/ CSE report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14</xdr:row>
          <xdr:rowOff>0</xdr:rowOff>
        </xdr:from>
        <xdr:to>
          <xdr:col>4</xdr:col>
          <xdr:colOff>1371600</xdr:colOff>
          <xdr:row>17</xdr:row>
          <xdr:rowOff>12700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A00-00001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MBS 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27</xdr:row>
          <xdr:rowOff>0</xdr:rowOff>
        </xdr:from>
        <xdr:to>
          <xdr:col>7</xdr:col>
          <xdr:colOff>1371600</xdr:colOff>
          <xdr:row>29</xdr:row>
          <xdr:rowOff>177800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A00-00001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CSE PM data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30</xdr:row>
          <xdr:rowOff>0</xdr:rowOff>
        </xdr:from>
        <xdr:to>
          <xdr:col>7</xdr:col>
          <xdr:colOff>1371600</xdr:colOff>
          <xdr:row>32</xdr:row>
          <xdr:rowOff>177800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A00-00001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CSE CM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27</xdr:row>
          <xdr:rowOff>0</xdr:rowOff>
        </xdr:from>
        <xdr:to>
          <xdr:col>1</xdr:col>
          <xdr:colOff>1371600</xdr:colOff>
          <xdr:row>29</xdr:row>
          <xdr:rowOff>177800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A00-00001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MSE PM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30</xdr:row>
          <xdr:rowOff>0</xdr:rowOff>
        </xdr:from>
        <xdr:to>
          <xdr:col>1</xdr:col>
          <xdr:colOff>1371600</xdr:colOff>
          <xdr:row>32</xdr:row>
          <xdr:rowOff>177800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A00-00001A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MSE CM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18</xdr:row>
          <xdr:rowOff>0</xdr:rowOff>
        </xdr:from>
        <xdr:to>
          <xdr:col>4</xdr:col>
          <xdr:colOff>1371600</xdr:colOff>
          <xdr:row>20</xdr:row>
          <xdr:rowOff>177800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A00-00001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weekly MSE/ CSE calendar input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0</xdr:rowOff>
    </xdr:from>
    <xdr:to>
      <xdr:col>7</xdr:col>
      <xdr:colOff>304800</xdr:colOff>
      <xdr:row>16</xdr:row>
      <xdr:rowOff>76200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304799</xdr:colOff>
      <xdr:row>16</xdr:row>
      <xdr:rowOff>76200</xdr:rowOff>
    </xdr:from>
    <xdr:to>
      <xdr:col>15</xdr:col>
      <xdr:colOff>0</xdr:colOff>
      <xdr:row>31</xdr:row>
      <xdr:rowOff>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304800</xdr:colOff>
      <xdr:row>2</xdr:row>
      <xdr:rowOff>0</xdr:rowOff>
    </xdr:from>
    <xdr:to>
      <xdr:col>15</xdr:col>
      <xdr:colOff>0</xdr:colOff>
      <xdr:row>16</xdr:row>
      <xdr:rowOff>76200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xdr:row>
      <xdr:rowOff>76199</xdr:rowOff>
    </xdr:from>
    <xdr:to>
      <xdr:col>7</xdr:col>
      <xdr:colOff>304800</xdr:colOff>
      <xdr:row>31</xdr:row>
      <xdr:rowOff>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34</xdr:row>
      <xdr:rowOff>0</xdr:rowOff>
    </xdr:from>
    <xdr:to>
      <xdr:col>7</xdr:col>
      <xdr:colOff>304800</xdr:colOff>
      <xdr:row>48</xdr:row>
      <xdr:rowOff>76200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48</xdr:row>
      <xdr:rowOff>57150</xdr:rowOff>
    </xdr:from>
    <xdr:to>
      <xdr:col>7</xdr:col>
      <xdr:colOff>304800</xdr:colOff>
      <xdr:row>63</xdr:row>
      <xdr:rowOff>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304800</xdr:colOff>
      <xdr:row>34</xdr:row>
      <xdr:rowOff>0</xdr:rowOff>
    </xdr:from>
    <xdr:to>
      <xdr:col>15</xdr:col>
      <xdr:colOff>0</xdr:colOff>
      <xdr:row>48</xdr:row>
      <xdr:rowOff>76200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304800</xdr:colOff>
      <xdr:row>48</xdr:row>
      <xdr:rowOff>57150</xdr:rowOff>
    </xdr:from>
    <xdr:to>
      <xdr:col>15</xdr:col>
      <xdr:colOff>0</xdr:colOff>
      <xdr:row>63</xdr:row>
      <xdr:rowOff>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64</xdr:row>
      <xdr:rowOff>0</xdr:rowOff>
    </xdr:from>
    <xdr:to>
      <xdr:col>7</xdr:col>
      <xdr:colOff>304800</xdr:colOff>
      <xdr:row>78</xdr:row>
      <xdr:rowOff>76200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304800</xdr:colOff>
      <xdr:row>64</xdr:row>
      <xdr:rowOff>0</xdr:rowOff>
    </xdr:from>
    <xdr:to>
      <xdr:col>15</xdr:col>
      <xdr:colOff>0</xdr:colOff>
      <xdr:row>78</xdr:row>
      <xdr:rowOff>76200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78</xdr:row>
      <xdr:rowOff>76200</xdr:rowOff>
    </xdr:from>
    <xdr:to>
      <xdr:col>7</xdr:col>
      <xdr:colOff>304800</xdr:colOff>
      <xdr:row>92</xdr:row>
      <xdr:rowOff>152400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304800</xdr:colOff>
      <xdr:row>78</xdr:row>
      <xdr:rowOff>76200</xdr:rowOff>
    </xdr:from>
    <xdr:to>
      <xdr:col>15</xdr:col>
      <xdr:colOff>0</xdr:colOff>
      <xdr:row>92</xdr:row>
      <xdr:rowOff>152400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7B10C-F813-467D-9947-B0A39DD368F7}">
  <sheetPr codeName="Sheet18">
    <tabColor theme="4"/>
  </sheetPr>
  <dimension ref="A1:V82"/>
  <sheetViews>
    <sheetView topLeftCell="A3" workbookViewId="0">
      <selection activeCell="A3" sqref="A3:V18"/>
    </sheetView>
  </sheetViews>
  <sheetFormatPr baseColWidth="10" defaultColWidth="8.83203125" defaultRowHeight="15" x14ac:dyDescent="0.2"/>
  <cols>
    <col min="4" max="6" width="12.5" bestFit="1" customWidth="1"/>
    <col min="7" max="7" width="12.5" customWidth="1"/>
    <col min="8" max="12" width="12.5" bestFit="1" customWidth="1"/>
    <col min="13" max="13" width="13.6640625" bestFit="1" customWidth="1"/>
    <col min="14" max="14" width="13.6640625" customWidth="1"/>
    <col min="15" max="15" width="13.6640625" bestFit="1" customWidth="1"/>
  </cols>
  <sheetData>
    <row r="1" spans="1:22" ht="21" x14ac:dyDescent="0.25">
      <c r="A1" s="330" t="s">
        <v>253</v>
      </c>
      <c r="B1" s="331"/>
      <c r="C1" s="331"/>
      <c r="D1" s="331"/>
      <c r="E1" s="331"/>
      <c r="F1" s="331"/>
      <c r="G1" s="331"/>
      <c r="H1" s="331"/>
      <c r="I1" s="331"/>
      <c r="J1" s="318"/>
      <c r="K1" s="318"/>
      <c r="L1" s="318"/>
      <c r="M1" s="318"/>
      <c r="N1" s="318"/>
      <c r="O1" s="318"/>
      <c r="P1" s="318"/>
      <c r="Q1" s="318"/>
      <c r="R1" s="318"/>
      <c r="S1" s="318"/>
      <c r="T1" s="318"/>
      <c r="U1" s="318"/>
      <c r="V1" s="319"/>
    </row>
    <row r="2" spans="1:22" ht="15" customHeight="1" x14ac:dyDescent="0.2">
      <c r="A2" s="336" t="s">
        <v>358</v>
      </c>
      <c r="B2" s="337"/>
      <c r="C2" s="337"/>
      <c r="D2" s="117" t="s">
        <v>230</v>
      </c>
      <c r="E2" s="117" t="s">
        <v>231</v>
      </c>
      <c r="F2" s="117" t="s">
        <v>232</v>
      </c>
      <c r="G2" s="117" t="s">
        <v>233</v>
      </c>
      <c r="H2" s="347" t="s">
        <v>236</v>
      </c>
      <c r="I2" s="347"/>
      <c r="J2" s="348"/>
      <c r="K2" s="348"/>
      <c r="L2" s="348"/>
      <c r="M2" s="348"/>
      <c r="N2" s="350"/>
      <c r="O2" s="350"/>
      <c r="P2" s="350"/>
      <c r="Q2" s="350"/>
      <c r="R2" s="350"/>
      <c r="S2" s="350"/>
      <c r="T2" s="350"/>
      <c r="U2" s="350"/>
      <c r="V2" s="351"/>
    </row>
    <row r="3" spans="1:22" x14ac:dyDescent="0.2">
      <c r="A3" s="344" t="s">
        <v>361</v>
      </c>
      <c r="B3" s="345"/>
      <c r="C3" s="345"/>
      <c r="D3" s="345"/>
      <c r="E3" s="345"/>
      <c r="F3" s="345"/>
      <c r="G3" s="345"/>
      <c r="H3" s="345"/>
      <c r="I3" s="345"/>
      <c r="J3" s="345"/>
      <c r="K3" s="345"/>
      <c r="L3" s="345"/>
      <c r="M3" s="345"/>
      <c r="N3" s="345"/>
      <c r="O3" s="345"/>
      <c r="P3" s="345"/>
      <c r="Q3" s="345"/>
      <c r="R3" s="345"/>
      <c r="S3" s="345"/>
      <c r="T3" s="345"/>
      <c r="U3" s="345"/>
      <c r="V3" s="346"/>
    </row>
    <row r="4" spans="1:22" x14ac:dyDescent="0.2">
      <c r="A4" s="344"/>
      <c r="B4" s="345"/>
      <c r="C4" s="345"/>
      <c r="D4" s="345"/>
      <c r="E4" s="345"/>
      <c r="F4" s="345"/>
      <c r="G4" s="345"/>
      <c r="H4" s="345"/>
      <c r="I4" s="345"/>
      <c r="J4" s="345"/>
      <c r="K4" s="345"/>
      <c r="L4" s="345"/>
      <c r="M4" s="345"/>
      <c r="N4" s="345"/>
      <c r="O4" s="345"/>
      <c r="P4" s="345"/>
      <c r="Q4" s="345"/>
      <c r="R4" s="345"/>
      <c r="S4" s="345"/>
      <c r="T4" s="345"/>
      <c r="U4" s="345"/>
      <c r="V4" s="346"/>
    </row>
    <row r="5" spans="1:22" x14ac:dyDescent="0.2">
      <c r="A5" s="344"/>
      <c r="B5" s="345"/>
      <c r="C5" s="345"/>
      <c r="D5" s="345"/>
      <c r="E5" s="345"/>
      <c r="F5" s="345"/>
      <c r="G5" s="345"/>
      <c r="H5" s="345"/>
      <c r="I5" s="345"/>
      <c r="J5" s="345"/>
      <c r="K5" s="345"/>
      <c r="L5" s="345"/>
      <c r="M5" s="345"/>
      <c r="N5" s="345"/>
      <c r="O5" s="345"/>
      <c r="P5" s="345"/>
      <c r="Q5" s="345"/>
      <c r="R5" s="345"/>
      <c r="S5" s="345"/>
      <c r="T5" s="345"/>
      <c r="U5" s="345"/>
      <c r="V5" s="346"/>
    </row>
    <row r="6" spans="1:22" x14ac:dyDescent="0.2">
      <c r="A6" s="344"/>
      <c r="B6" s="345"/>
      <c r="C6" s="345"/>
      <c r="D6" s="345"/>
      <c r="E6" s="345"/>
      <c r="F6" s="345"/>
      <c r="G6" s="345"/>
      <c r="H6" s="345"/>
      <c r="I6" s="345"/>
      <c r="J6" s="345"/>
      <c r="K6" s="345"/>
      <c r="L6" s="345"/>
      <c r="M6" s="345"/>
      <c r="N6" s="345"/>
      <c r="O6" s="345"/>
      <c r="P6" s="345"/>
      <c r="Q6" s="345"/>
      <c r="R6" s="345"/>
      <c r="S6" s="345"/>
      <c r="T6" s="345"/>
      <c r="U6" s="345"/>
      <c r="V6" s="346"/>
    </row>
    <row r="7" spans="1:22" x14ac:dyDescent="0.2">
      <c r="A7" s="344"/>
      <c r="B7" s="345"/>
      <c r="C7" s="345"/>
      <c r="D7" s="345"/>
      <c r="E7" s="345"/>
      <c r="F7" s="345"/>
      <c r="G7" s="345"/>
      <c r="H7" s="345"/>
      <c r="I7" s="345"/>
      <c r="J7" s="345"/>
      <c r="K7" s="345"/>
      <c r="L7" s="345"/>
      <c r="M7" s="345"/>
      <c r="N7" s="345"/>
      <c r="O7" s="345"/>
      <c r="P7" s="345"/>
      <c r="Q7" s="345"/>
      <c r="R7" s="345"/>
      <c r="S7" s="345"/>
      <c r="T7" s="345"/>
      <c r="U7" s="345"/>
      <c r="V7" s="346"/>
    </row>
    <row r="8" spans="1:22" x14ac:dyDescent="0.2">
      <c r="A8" s="344"/>
      <c r="B8" s="345"/>
      <c r="C8" s="345"/>
      <c r="D8" s="345"/>
      <c r="E8" s="345"/>
      <c r="F8" s="345"/>
      <c r="G8" s="345"/>
      <c r="H8" s="345"/>
      <c r="I8" s="345"/>
      <c r="J8" s="345"/>
      <c r="K8" s="345"/>
      <c r="L8" s="345"/>
      <c r="M8" s="345"/>
      <c r="N8" s="345"/>
      <c r="O8" s="345"/>
      <c r="P8" s="345"/>
      <c r="Q8" s="345"/>
      <c r="R8" s="345"/>
      <c r="S8" s="345"/>
      <c r="T8" s="345"/>
      <c r="U8" s="345"/>
      <c r="V8" s="346"/>
    </row>
    <row r="9" spans="1:22" x14ac:dyDescent="0.2">
      <c r="A9" s="344"/>
      <c r="B9" s="345"/>
      <c r="C9" s="345"/>
      <c r="D9" s="345"/>
      <c r="E9" s="345"/>
      <c r="F9" s="345"/>
      <c r="G9" s="345"/>
      <c r="H9" s="345"/>
      <c r="I9" s="345"/>
      <c r="J9" s="345"/>
      <c r="K9" s="345"/>
      <c r="L9" s="345"/>
      <c r="M9" s="345"/>
      <c r="N9" s="345"/>
      <c r="O9" s="345"/>
      <c r="P9" s="345"/>
      <c r="Q9" s="345"/>
      <c r="R9" s="345"/>
      <c r="S9" s="345"/>
      <c r="T9" s="345"/>
      <c r="U9" s="345"/>
      <c r="V9" s="346"/>
    </row>
    <row r="10" spans="1:22" x14ac:dyDescent="0.2">
      <c r="A10" s="344"/>
      <c r="B10" s="345"/>
      <c r="C10" s="345"/>
      <c r="D10" s="345"/>
      <c r="E10" s="345"/>
      <c r="F10" s="345"/>
      <c r="G10" s="345"/>
      <c r="H10" s="345"/>
      <c r="I10" s="345"/>
      <c r="J10" s="345"/>
      <c r="K10" s="345"/>
      <c r="L10" s="345"/>
      <c r="M10" s="345"/>
      <c r="N10" s="345"/>
      <c r="O10" s="345"/>
      <c r="P10" s="345"/>
      <c r="Q10" s="345"/>
      <c r="R10" s="345"/>
      <c r="S10" s="345"/>
      <c r="T10" s="345"/>
      <c r="U10" s="345"/>
      <c r="V10" s="346"/>
    </row>
    <row r="11" spans="1:22" x14ac:dyDescent="0.2">
      <c r="A11" s="344"/>
      <c r="B11" s="345"/>
      <c r="C11" s="345"/>
      <c r="D11" s="345"/>
      <c r="E11" s="345"/>
      <c r="F11" s="345"/>
      <c r="G11" s="345"/>
      <c r="H11" s="345"/>
      <c r="I11" s="345"/>
      <c r="J11" s="345"/>
      <c r="K11" s="345"/>
      <c r="L11" s="345"/>
      <c r="M11" s="345"/>
      <c r="N11" s="345"/>
      <c r="O11" s="345"/>
      <c r="P11" s="345"/>
      <c r="Q11" s="345"/>
      <c r="R11" s="345"/>
      <c r="S11" s="345"/>
      <c r="T11" s="345"/>
      <c r="U11" s="345"/>
      <c r="V11" s="346"/>
    </row>
    <row r="12" spans="1:22" x14ac:dyDescent="0.2">
      <c r="A12" s="344"/>
      <c r="B12" s="345"/>
      <c r="C12" s="345"/>
      <c r="D12" s="345"/>
      <c r="E12" s="345"/>
      <c r="F12" s="345"/>
      <c r="G12" s="345"/>
      <c r="H12" s="345"/>
      <c r="I12" s="345"/>
      <c r="J12" s="345"/>
      <c r="K12" s="345"/>
      <c r="L12" s="345"/>
      <c r="M12" s="345"/>
      <c r="N12" s="345"/>
      <c r="O12" s="345"/>
      <c r="P12" s="345"/>
      <c r="Q12" s="345"/>
      <c r="R12" s="345"/>
      <c r="S12" s="345"/>
      <c r="T12" s="345"/>
      <c r="U12" s="345"/>
      <c r="V12" s="346"/>
    </row>
    <row r="13" spans="1:22" x14ac:dyDescent="0.2">
      <c r="A13" s="344"/>
      <c r="B13" s="345"/>
      <c r="C13" s="345"/>
      <c r="D13" s="345"/>
      <c r="E13" s="345"/>
      <c r="F13" s="345"/>
      <c r="G13" s="345"/>
      <c r="H13" s="345"/>
      <c r="I13" s="345"/>
      <c r="J13" s="345"/>
      <c r="K13" s="345"/>
      <c r="L13" s="345"/>
      <c r="M13" s="345"/>
      <c r="N13" s="345"/>
      <c r="O13" s="345"/>
      <c r="P13" s="345"/>
      <c r="Q13" s="345"/>
      <c r="R13" s="345"/>
      <c r="S13" s="345"/>
      <c r="T13" s="345"/>
      <c r="U13" s="345"/>
      <c r="V13" s="346"/>
    </row>
    <row r="14" spans="1:22" x14ac:dyDescent="0.2">
      <c r="A14" s="344"/>
      <c r="B14" s="345"/>
      <c r="C14" s="345"/>
      <c r="D14" s="345"/>
      <c r="E14" s="345"/>
      <c r="F14" s="345"/>
      <c r="G14" s="345"/>
      <c r="H14" s="345"/>
      <c r="I14" s="345"/>
      <c r="J14" s="345"/>
      <c r="K14" s="345"/>
      <c r="L14" s="345"/>
      <c r="M14" s="345"/>
      <c r="N14" s="345"/>
      <c r="O14" s="345"/>
      <c r="P14" s="345"/>
      <c r="Q14" s="345"/>
      <c r="R14" s="345"/>
      <c r="S14" s="345"/>
      <c r="T14" s="345"/>
      <c r="U14" s="345"/>
      <c r="V14" s="346"/>
    </row>
    <row r="15" spans="1:22" x14ac:dyDescent="0.2">
      <c r="A15" s="344"/>
      <c r="B15" s="345"/>
      <c r="C15" s="345"/>
      <c r="D15" s="345"/>
      <c r="E15" s="345"/>
      <c r="F15" s="345"/>
      <c r="G15" s="345"/>
      <c r="H15" s="345"/>
      <c r="I15" s="345"/>
      <c r="J15" s="345"/>
      <c r="K15" s="345"/>
      <c r="L15" s="345"/>
      <c r="M15" s="345"/>
      <c r="N15" s="345"/>
      <c r="O15" s="345"/>
      <c r="P15" s="345"/>
      <c r="Q15" s="345"/>
      <c r="R15" s="345"/>
      <c r="S15" s="345"/>
      <c r="T15" s="345"/>
      <c r="U15" s="345"/>
      <c r="V15" s="346"/>
    </row>
    <row r="16" spans="1:22" x14ac:dyDescent="0.2">
      <c r="A16" s="344"/>
      <c r="B16" s="345"/>
      <c r="C16" s="345"/>
      <c r="D16" s="345"/>
      <c r="E16" s="345"/>
      <c r="F16" s="345"/>
      <c r="G16" s="345"/>
      <c r="H16" s="345"/>
      <c r="I16" s="345"/>
      <c r="J16" s="345"/>
      <c r="K16" s="345"/>
      <c r="L16" s="345"/>
      <c r="M16" s="345"/>
      <c r="N16" s="345"/>
      <c r="O16" s="345"/>
      <c r="P16" s="345"/>
      <c r="Q16" s="345"/>
      <c r="R16" s="345"/>
      <c r="S16" s="345"/>
      <c r="T16" s="345"/>
      <c r="U16" s="345"/>
      <c r="V16" s="346"/>
    </row>
    <row r="17" spans="1:22" x14ac:dyDescent="0.2">
      <c r="A17" s="344"/>
      <c r="B17" s="345"/>
      <c r="C17" s="345"/>
      <c r="D17" s="345"/>
      <c r="E17" s="345"/>
      <c r="F17" s="345"/>
      <c r="G17" s="345"/>
      <c r="H17" s="345"/>
      <c r="I17" s="345"/>
      <c r="J17" s="345"/>
      <c r="K17" s="345"/>
      <c r="L17" s="345"/>
      <c r="M17" s="345"/>
      <c r="N17" s="345"/>
      <c r="O17" s="345"/>
      <c r="P17" s="345"/>
      <c r="Q17" s="345"/>
      <c r="R17" s="345"/>
      <c r="S17" s="345"/>
      <c r="T17" s="345"/>
      <c r="U17" s="345"/>
      <c r="V17" s="346"/>
    </row>
    <row r="18" spans="1:22" ht="16" thickBot="1" x14ac:dyDescent="0.25">
      <c r="A18" s="344"/>
      <c r="B18" s="345"/>
      <c r="C18" s="345"/>
      <c r="D18" s="345"/>
      <c r="E18" s="345"/>
      <c r="F18" s="345"/>
      <c r="G18" s="345"/>
      <c r="H18" s="345"/>
      <c r="I18" s="345"/>
      <c r="J18" s="345"/>
      <c r="K18" s="345"/>
      <c r="L18" s="345"/>
      <c r="M18" s="345"/>
      <c r="N18" s="345"/>
      <c r="O18" s="345"/>
      <c r="P18" s="345"/>
      <c r="Q18" s="345"/>
      <c r="R18" s="345"/>
      <c r="S18" s="345"/>
      <c r="T18" s="345"/>
      <c r="U18" s="345"/>
      <c r="V18" s="346"/>
    </row>
    <row r="19" spans="1:22" ht="21" x14ac:dyDescent="0.25">
      <c r="A19" s="332" t="s">
        <v>254</v>
      </c>
      <c r="B19" s="333"/>
      <c r="C19" s="333"/>
      <c r="D19" s="333"/>
      <c r="E19" s="333"/>
      <c r="F19" s="333"/>
      <c r="G19" s="333"/>
      <c r="H19" s="333"/>
      <c r="I19" s="333"/>
      <c r="J19" s="320"/>
      <c r="K19" s="320"/>
      <c r="L19" s="320"/>
      <c r="M19" s="320"/>
      <c r="N19" s="320"/>
      <c r="O19" s="320"/>
      <c r="P19" s="320"/>
      <c r="Q19" s="320"/>
      <c r="R19" s="320"/>
      <c r="S19" s="320"/>
      <c r="T19" s="320"/>
      <c r="U19" s="320"/>
      <c r="V19" s="321"/>
    </row>
    <row r="20" spans="1:22" ht="15" customHeight="1" x14ac:dyDescent="0.2">
      <c r="A20" s="336" t="s">
        <v>358</v>
      </c>
      <c r="B20" s="337"/>
      <c r="C20" s="337"/>
      <c r="D20" s="118" t="s">
        <v>237</v>
      </c>
      <c r="E20" s="118" t="s">
        <v>238</v>
      </c>
      <c r="F20" s="118" t="s">
        <v>239</v>
      </c>
      <c r="G20" s="118" t="s">
        <v>240</v>
      </c>
      <c r="H20" s="334" t="s">
        <v>235</v>
      </c>
      <c r="I20" s="335"/>
      <c r="J20" s="334" t="s">
        <v>330</v>
      </c>
      <c r="K20" s="335"/>
      <c r="L20" s="349"/>
      <c r="M20" s="350"/>
      <c r="N20" s="350"/>
      <c r="O20" s="350"/>
      <c r="P20" s="350"/>
      <c r="Q20" s="350"/>
      <c r="R20" s="350"/>
      <c r="S20" s="350"/>
      <c r="T20" s="350"/>
      <c r="U20" s="350"/>
      <c r="V20" s="351"/>
    </row>
    <row r="21" spans="1:22" x14ac:dyDescent="0.2">
      <c r="A21" s="324">
        <v>1</v>
      </c>
      <c r="B21" s="325"/>
      <c r="C21" s="325"/>
      <c r="D21" s="325"/>
      <c r="E21" s="325"/>
      <c r="F21" s="325"/>
      <c r="G21" s="325"/>
      <c r="H21" s="325"/>
      <c r="I21" s="325"/>
      <c r="J21" s="325"/>
      <c r="K21" s="325"/>
      <c r="L21" s="325"/>
      <c r="M21" s="325"/>
      <c r="N21" s="325"/>
      <c r="O21" s="325"/>
      <c r="P21" s="325"/>
      <c r="Q21" s="325"/>
      <c r="R21" s="325"/>
      <c r="S21" s="325"/>
      <c r="T21" s="325"/>
      <c r="U21" s="325"/>
      <c r="V21" s="326"/>
    </row>
    <row r="22" spans="1:22" x14ac:dyDescent="0.2">
      <c r="A22" s="324"/>
      <c r="B22" s="325"/>
      <c r="C22" s="325"/>
      <c r="D22" s="325"/>
      <c r="E22" s="325"/>
      <c r="F22" s="325"/>
      <c r="G22" s="325"/>
      <c r="H22" s="325"/>
      <c r="I22" s="325"/>
      <c r="J22" s="325"/>
      <c r="K22" s="325"/>
      <c r="L22" s="325"/>
      <c r="M22" s="325"/>
      <c r="N22" s="325"/>
      <c r="O22" s="325"/>
      <c r="P22" s="325"/>
      <c r="Q22" s="325"/>
      <c r="R22" s="325"/>
      <c r="S22" s="325"/>
      <c r="T22" s="325"/>
      <c r="U22" s="325"/>
      <c r="V22" s="326"/>
    </row>
    <row r="23" spans="1:22" x14ac:dyDescent="0.2">
      <c r="A23" s="324"/>
      <c r="B23" s="325"/>
      <c r="C23" s="325"/>
      <c r="D23" s="325"/>
      <c r="E23" s="325"/>
      <c r="F23" s="325"/>
      <c r="G23" s="325"/>
      <c r="H23" s="325"/>
      <c r="I23" s="325"/>
      <c r="J23" s="325"/>
      <c r="K23" s="325"/>
      <c r="L23" s="325"/>
      <c r="M23" s="325"/>
      <c r="N23" s="325"/>
      <c r="O23" s="325"/>
      <c r="P23" s="325"/>
      <c r="Q23" s="325"/>
      <c r="R23" s="325"/>
      <c r="S23" s="325"/>
      <c r="T23" s="325"/>
      <c r="U23" s="325"/>
      <c r="V23" s="326"/>
    </row>
    <row r="24" spans="1:22" x14ac:dyDescent="0.2">
      <c r="A24" s="324"/>
      <c r="B24" s="325"/>
      <c r="C24" s="325"/>
      <c r="D24" s="325"/>
      <c r="E24" s="325"/>
      <c r="F24" s="325"/>
      <c r="G24" s="325"/>
      <c r="H24" s="325"/>
      <c r="I24" s="325"/>
      <c r="J24" s="325"/>
      <c r="K24" s="325"/>
      <c r="L24" s="325"/>
      <c r="M24" s="325"/>
      <c r="N24" s="325"/>
      <c r="O24" s="325"/>
      <c r="P24" s="325"/>
      <c r="Q24" s="325"/>
      <c r="R24" s="325"/>
      <c r="S24" s="325"/>
      <c r="T24" s="325"/>
      <c r="U24" s="325"/>
      <c r="V24" s="326"/>
    </row>
    <row r="25" spans="1:22" x14ac:dyDescent="0.2">
      <c r="A25" s="324"/>
      <c r="B25" s="325"/>
      <c r="C25" s="325"/>
      <c r="D25" s="325"/>
      <c r="E25" s="325"/>
      <c r="F25" s="325"/>
      <c r="G25" s="325"/>
      <c r="H25" s="325"/>
      <c r="I25" s="325"/>
      <c r="J25" s="325"/>
      <c r="K25" s="325"/>
      <c r="L25" s="325"/>
      <c r="M25" s="325"/>
      <c r="N25" s="325"/>
      <c r="O25" s="325"/>
      <c r="P25" s="325"/>
      <c r="Q25" s="325"/>
      <c r="R25" s="325"/>
      <c r="S25" s="325"/>
      <c r="T25" s="325"/>
      <c r="U25" s="325"/>
      <c r="V25" s="326"/>
    </row>
    <row r="26" spans="1:22" x14ac:dyDescent="0.2">
      <c r="A26" s="324"/>
      <c r="B26" s="325"/>
      <c r="C26" s="325"/>
      <c r="D26" s="325"/>
      <c r="E26" s="325"/>
      <c r="F26" s="325"/>
      <c r="G26" s="325"/>
      <c r="H26" s="325"/>
      <c r="I26" s="325"/>
      <c r="J26" s="325"/>
      <c r="K26" s="325"/>
      <c r="L26" s="325"/>
      <c r="M26" s="325"/>
      <c r="N26" s="325"/>
      <c r="O26" s="325"/>
      <c r="P26" s="325"/>
      <c r="Q26" s="325"/>
      <c r="R26" s="325"/>
      <c r="S26" s="325"/>
      <c r="T26" s="325"/>
      <c r="U26" s="325"/>
      <c r="V26" s="326"/>
    </row>
    <row r="27" spans="1:22" x14ac:dyDescent="0.2">
      <c r="A27" s="324"/>
      <c r="B27" s="325"/>
      <c r="C27" s="325"/>
      <c r="D27" s="325"/>
      <c r="E27" s="325"/>
      <c r="F27" s="325"/>
      <c r="G27" s="325"/>
      <c r="H27" s="325"/>
      <c r="I27" s="325"/>
      <c r="J27" s="325"/>
      <c r="K27" s="325"/>
      <c r="L27" s="325"/>
      <c r="M27" s="325"/>
      <c r="N27" s="325"/>
      <c r="O27" s="325"/>
      <c r="P27" s="325"/>
      <c r="Q27" s="325"/>
      <c r="R27" s="325"/>
      <c r="S27" s="325"/>
      <c r="T27" s="325"/>
      <c r="U27" s="325"/>
      <c r="V27" s="326"/>
    </row>
    <row r="28" spans="1:22" x14ac:dyDescent="0.2">
      <c r="A28" s="324"/>
      <c r="B28" s="325"/>
      <c r="C28" s="325"/>
      <c r="D28" s="325"/>
      <c r="E28" s="325"/>
      <c r="F28" s="325"/>
      <c r="G28" s="325"/>
      <c r="H28" s="325"/>
      <c r="I28" s="325"/>
      <c r="J28" s="325"/>
      <c r="K28" s="325"/>
      <c r="L28" s="325"/>
      <c r="M28" s="325"/>
      <c r="N28" s="325"/>
      <c r="O28" s="325"/>
      <c r="P28" s="325"/>
      <c r="Q28" s="325"/>
      <c r="R28" s="325"/>
      <c r="S28" s="325"/>
      <c r="T28" s="325"/>
      <c r="U28" s="325"/>
      <c r="V28" s="326"/>
    </row>
    <row r="29" spans="1:22" x14ac:dyDescent="0.2">
      <c r="A29" s="324"/>
      <c r="B29" s="325"/>
      <c r="C29" s="325"/>
      <c r="D29" s="325"/>
      <c r="E29" s="325"/>
      <c r="F29" s="325"/>
      <c r="G29" s="325"/>
      <c r="H29" s="325"/>
      <c r="I29" s="325"/>
      <c r="J29" s="325"/>
      <c r="K29" s="325"/>
      <c r="L29" s="325"/>
      <c r="M29" s="325"/>
      <c r="N29" s="325"/>
      <c r="O29" s="325"/>
      <c r="P29" s="325"/>
      <c r="Q29" s="325"/>
      <c r="R29" s="325"/>
      <c r="S29" s="325"/>
      <c r="T29" s="325"/>
      <c r="U29" s="325"/>
      <c r="V29" s="326"/>
    </row>
    <row r="30" spans="1:22" x14ac:dyDescent="0.2">
      <c r="A30" s="324"/>
      <c r="B30" s="325"/>
      <c r="C30" s="325"/>
      <c r="D30" s="325"/>
      <c r="E30" s="325"/>
      <c r="F30" s="325"/>
      <c r="G30" s="325"/>
      <c r="H30" s="325"/>
      <c r="I30" s="325"/>
      <c r="J30" s="325"/>
      <c r="K30" s="325"/>
      <c r="L30" s="325"/>
      <c r="M30" s="325"/>
      <c r="N30" s="325"/>
      <c r="O30" s="325"/>
      <c r="P30" s="325"/>
      <c r="Q30" s="325"/>
      <c r="R30" s="325"/>
      <c r="S30" s="325"/>
      <c r="T30" s="325"/>
      <c r="U30" s="325"/>
      <c r="V30" s="326"/>
    </row>
    <row r="31" spans="1:22" x14ac:dyDescent="0.2">
      <c r="A31" s="324"/>
      <c r="B31" s="325"/>
      <c r="C31" s="325"/>
      <c r="D31" s="325"/>
      <c r="E31" s="325"/>
      <c r="F31" s="325"/>
      <c r="G31" s="325"/>
      <c r="H31" s="325"/>
      <c r="I31" s="325"/>
      <c r="J31" s="325"/>
      <c r="K31" s="325"/>
      <c r="L31" s="325"/>
      <c r="M31" s="325"/>
      <c r="N31" s="325"/>
      <c r="O31" s="325"/>
      <c r="P31" s="325"/>
      <c r="Q31" s="325"/>
      <c r="R31" s="325"/>
      <c r="S31" s="325"/>
      <c r="T31" s="325"/>
      <c r="U31" s="325"/>
      <c r="V31" s="326"/>
    </row>
    <row r="32" spans="1:22" x14ac:dyDescent="0.2">
      <c r="A32" s="324"/>
      <c r="B32" s="325"/>
      <c r="C32" s="325"/>
      <c r="D32" s="325"/>
      <c r="E32" s="325"/>
      <c r="F32" s="325"/>
      <c r="G32" s="325"/>
      <c r="H32" s="325"/>
      <c r="I32" s="325"/>
      <c r="J32" s="325"/>
      <c r="K32" s="325"/>
      <c r="L32" s="325"/>
      <c r="M32" s="325"/>
      <c r="N32" s="325"/>
      <c r="O32" s="325"/>
      <c r="P32" s="325"/>
      <c r="Q32" s="325"/>
      <c r="R32" s="325"/>
      <c r="S32" s="325"/>
      <c r="T32" s="325"/>
      <c r="U32" s="325"/>
      <c r="V32" s="326"/>
    </row>
    <row r="33" spans="1:22" x14ac:dyDescent="0.2">
      <c r="A33" s="324"/>
      <c r="B33" s="325"/>
      <c r="C33" s="325"/>
      <c r="D33" s="325"/>
      <c r="E33" s="325"/>
      <c r="F33" s="325"/>
      <c r="G33" s="325"/>
      <c r="H33" s="325"/>
      <c r="I33" s="325"/>
      <c r="J33" s="325"/>
      <c r="K33" s="325"/>
      <c r="L33" s="325"/>
      <c r="M33" s="325"/>
      <c r="N33" s="325"/>
      <c r="O33" s="325"/>
      <c r="P33" s="325"/>
      <c r="Q33" s="325"/>
      <c r="R33" s="325"/>
      <c r="S33" s="325"/>
      <c r="T33" s="325"/>
      <c r="U33" s="325"/>
      <c r="V33" s="326"/>
    </row>
    <row r="34" spans="1:22" ht="16" thickBot="1" x14ac:dyDescent="0.25">
      <c r="A34" s="327"/>
      <c r="B34" s="328"/>
      <c r="C34" s="328"/>
      <c r="D34" s="328"/>
      <c r="E34" s="328"/>
      <c r="F34" s="328"/>
      <c r="G34" s="328"/>
      <c r="H34" s="328"/>
      <c r="I34" s="328"/>
      <c r="J34" s="328"/>
      <c r="K34" s="328"/>
      <c r="L34" s="328"/>
      <c r="M34" s="328"/>
      <c r="N34" s="328"/>
      <c r="O34" s="328"/>
      <c r="P34" s="328"/>
      <c r="Q34" s="328"/>
      <c r="R34" s="328"/>
      <c r="S34" s="328"/>
      <c r="T34" s="328"/>
      <c r="U34" s="328"/>
      <c r="V34" s="329"/>
    </row>
    <row r="35" spans="1:22" ht="21" x14ac:dyDescent="0.25">
      <c r="A35" s="316" t="s">
        <v>255</v>
      </c>
      <c r="B35" s="317"/>
      <c r="C35" s="317"/>
      <c r="D35" s="317"/>
      <c r="E35" s="317"/>
      <c r="F35" s="317"/>
      <c r="G35" s="317"/>
      <c r="H35" s="317"/>
      <c r="I35" s="317"/>
      <c r="J35" s="322"/>
      <c r="K35" s="322"/>
      <c r="L35" s="322"/>
      <c r="M35" s="322"/>
      <c r="N35" s="322"/>
      <c r="O35" s="322"/>
      <c r="P35" s="322"/>
      <c r="Q35" s="322"/>
      <c r="R35" s="322"/>
      <c r="S35" s="322"/>
      <c r="T35" s="322"/>
      <c r="U35" s="322"/>
      <c r="V35" s="323"/>
    </row>
    <row r="36" spans="1:22" ht="15" customHeight="1" x14ac:dyDescent="0.2">
      <c r="A36" s="336" t="s">
        <v>358</v>
      </c>
      <c r="B36" s="337"/>
      <c r="C36" s="337"/>
      <c r="D36" s="118" t="s">
        <v>237</v>
      </c>
      <c r="E36" s="118" t="s">
        <v>238</v>
      </c>
      <c r="F36" s="118" t="s">
        <v>239</v>
      </c>
      <c r="G36" s="118" t="s">
        <v>240</v>
      </c>
      <c r="H36" s="334" t="s">
        <v>234</v>
      </c>
      <c r="I36" s="335"/>
      <c r="J36" s="334" t="s">
        <v>234</v>
      </c>
      <c r="K36" s="335"/>
      <c r="L36" s="352"/>
      <c r="M36" s="353"/>
      <c r="N36" s="353"/>
      <c r="O36" s="353"/>
      <c r="P36" s="353"/>
      <c r="Q36" s="353"/>
      <c r="R36" s="353"/>
      <c r="S36" s="353"/>
      <c r="T36" s="353"/>
      <c r="U36" s="353"/>
      <c r="V36" s="354"/>
    </row>
    <row r="37" spans="1:22" x14ac:dyDescent="0.2">
      <c r="A37" s="338">
        <v>1</v>
      </c>
      <c r="B37" s="339"/>
      <c r="C37" s="339"/>
      <c r="D37" s="339"/>
      <c r="E37" s="339"/>
      <c r="F37" s="339"/>
      <c r="G37" s="339"/>
      <c r="H37" s="339"/>
      <c r="I37" s="339"/>
      <c r="J37" s="339"/>
      <c r="K37" s="339"/>
      <c r="L37" s="339"/>
      <c r="M37" s="339"/>
      <c r="N37" s="339"/>
      <c r="O37" s="339"/>
      <c r="P37" s="339"/>
      <c r="Q37" s="339"/>
      <c r="R37" s="339"/>
      <c r="S37" s="339"/>
      <c r="T37" s="339"/>
      <c r="U37" s="339"/>
      <c r="V37" s="340"/>
    </row>
    <row r="38" spans="1:22" x14ac:dyDescent="0.2">
      <c r="A38" s="338"/>
      <c r="B38" s="339"/>
      <c r="C38" s="339"/>
      <c r="D38" s="339"/>
      <c r="E38" s="339"/>
      <c r="F38" s="339"/>
      <c r="G38" s="339"/>
      <c r="H38" s="339"/>
      <c r="I38" s="339"/>
      <c r="J38" s="339"/>
      <c r="K38" s="339"/>
      <c r="L38" s="339"/>
      <c r="M38" s="339"/>
      <c r="N38" s="339"/>
      <c r="O38" s="339"/>
      <c r="P38" s="339"/>
      <c r="Q38" s="339"/>
      <c r="R38" s="339"/>
      <c r="S38" s="339"/>
      <c r="T38" s="339"/>
      <c r="U38" s="339"/>
      <c r="V38" s="340"/>
    </row>
    <row r="39" spans="1:22" x14ac:dyDescent="0.2">
      <c r="A39" s="338"/>
      <c r="B39" s="339"/>
      <c r="C39" s="339"/>
      <c r="D39" s="339"/>
      <c r="E39" s="339"/>
      <c r="F39" s="339"/>
      <c r="G39" s="339"/>
      <c r="H39" s="339"/>
      <c r="I39" s="339"/>
      <c r="J39" s="339"/>
      <c r="K39" s="339"/>
      <c r="L39" s="339"/>
      <c r="M39" s="339"/>
      <c r="N39" s="339"/>
      <c r="O39" s="339"/>
      <c r="P39" s="339"/>
      <c r="Q39" s="339"/>
      <c r="R39" s="339"/>
      <c r="S39" s="339"/>
      <c r="T39" s="339"/>
      <c r="U39" s="339"/>
      <c r="V39" s="340"/>
    </row>
    <row r="40" spans="1:22" x14ac:dyDescent="0.2">
      <c r="A40" s="338"/>
      <c r="B40" s="339"/>
      <c r="C40" s="339"/>
      <c r="D40" s="339"/>
      <c r="E40" s="339"/>
      <c r="F40" s="339"/>
      <c r="G40" s="339"/>
      <c r="H40" s="339"/>
      <c r="I40" s="339"/>
      <c r="J40" s="339"/>
      <c r="K40" s="339"/>
      <c r="L40" s="339"/>
      <c r="M40" s="339"/>
      <c r="N40" s="339"/>
      <c r="O40" s="339"/>
      <c r="P40" s="339"/>
      <c r="Q40" s="339"/>
      <c r="R40" s="339"/>
      <c r="S40" s="339"/>
      <c r="T40" s="339"/>
      <c r="U40" s="339"/>
      <c r="V40" s="340"/>
    </row>
    <row r="41" spans="1:22" x14ac:dyDescent="0.2">
      <c r="A41" s="338"/>
      <c r="B41" s="339"/>
      <c r="C41" s="339"/>
      <c r="D41" s="339"/>
      <c r="E41" s="339"/>
      <c r="F41" s="339"/>
      <c r="G41" s="339"/>
      <c r="H41" s="339"/>
      <c r="I41" s="339"/>
      <c r="J41" s="339"/>
      <c r="K41" s="339"/>
      <c r="L41" s="339"/>
      <c r="M41" s="339"/>
      <c r="N41" s="339"/>
      <c r="O41" s="339"/>
      <c r="P41" s="339"/>
      <c r="Q41" s="339"/>
      <c r="R41" s="339"/>
      <c r="S41" s="339"/>
      <c r="T41" s="339"/>
      <c r="U41" s="339"/>
      <c r="V41" s="340"/>
    </row>
    <row r="42" spans="1:22" x14ac:dyDescent="0.2">
      <c r="A42" s="338"/>
      <c r="B42" s="339"/>
      <c r="C42" s="339"/>
      <c r="D42" s="339"/>
      <c r="E42" s="339"/>
      <c r="F42" s="339"/>
      <c r="G42" s="339"/>
      <c r="H42" s="339"/>
      <c r="I42" s="339"/>
      <c r="J42" s="339"/>
      <c r="K42" s="339"/>
      <c r="L42" s="339"/>
      <c r="M42" s="339"/>
      <c r="N42" s="339"/>
      <c r="O42" s="339"/>
      <c r="P42" s="339"/>
      <c r="Q42" s="339"/>
      <c r="R42" s="339"/>
      <c r="S42" s="339"/>
      <c r="T42" s="339"/>
      <c r="U42" s="339"/>
      <c r="V42" s="340"/>
    </row>
    <row r="43" spans="1:22" x14ac:dyDescent="0.2">
      <c r="A43" s="338"/>
      <c r="B43" s="339"/>
      <c r="C43" s="339"/>
      <c r="D43" s="339"/>
      <c r="E43" s="339"/>
      <c r="F43" s="339"/>
      <c r="G43" s="339"/>
      <c r="H43" s="339"/>
      <c r="I43" s="339"/>
      <c r="J43" s="339"/>
      <c r="K43" s="339"/>
      <c r="L43" s="339"/>
      <c r="M43" s="339"/>
      <c r="N43" s="339"/>
      <c r="O43" s="339"/>
      <c r="P43" s="339"/>
      <c r="Q43" s="339"/>
      <c r="R43" s="339"/>
      <c r="S43" s="339"/>
      <c r="T43" s="339"/>
      <c r="U43" s="339"/>
      <c r="V43" s="340"/>
    </row>
    <row r="44" spans="1:22" x14ac:dyDescent="0.2">
      <c r="A44" s="338"/>
      <c r="B44" s="339"/>
      <c r="C44" s="339"/>
      <c r="D44" s="339"/>
      <c r="E44" s="339"/>
      <c r="F44" s="339"/>
      <c r="G44" s="339"/>
      <c r="H44" s="339"/>
      <c r="I44" s="339"/>
      <c r="J44" s="339"/>
      <c r="K44" s="339"/>
      <c r="L44" s="339"/>
      <c r="M44" s="339"/>
      <c r="N44" s="339"/>
      <c r="O44" s="339"/>
      <c r="P44" s="339"/>
      <c r="Q44" s="339"/>
      <c r="R44" s="339"/>
      <c r="S44" s="339"/>
      <c r="T44" s="339"/>
      <c r="U44" s="339"/>
      <c r="V44" s="340"/>
    </row>
    <row r="45" spans="1:22" x14ac:dyDescent="0.2">
      <c r="A45" s="338"/>
      <c r="B45" s="339"/>
      <c r="C45" s="339"/>
      <c r="D45" s="339"/>
      <c r="E45" s="339"/>
      <c r="F45" s="339"/>
      <c r="G45" s="339"/>
      <c r="H45" s="339"/>
      <c r="I45" s="339"/>
      <c r="J45" s="339"/>
      <c r="K45" s="339"/>
      <c r="L45" s="339"/>
      <c r="M45" s="339"/>
      <c r="N45" s="339"/>
      <c r="O45" s="339"/>
      <c r="P45" s="339"/>
      <c r="Q45" s="339"/>
      <c r="R45" s="339"/>
      <c r="S45" s="339"/>
      <c r="T45" s="339"/>
      <c r="U45" s="339"/>
      <c r="V45" s="340"/>
    </row>
    <row r="46" spans="1:22" x14ac:dyDescent="0.2">
      <c r="A46" s="338"/>
      <c r="B46" s="339"/>
      <c r="C46" s="339"/>
      <c r="D46" s="339"/>
      <c r="E46" s="339"/>
      <c r="F46" s="339"/>
      <c r="G46" s="339"/>
      <c r="H46" s="339"/>
      <c r="I46" s="339"/>
      <c r="J46" s="339"/>
      <c r="K46" s="339"/>
      <c r="L46" s="339"/>
      <c r="M46" s="339"/>
      <c r="N46" s="339"/>
      <c r="O46" s="339"/>
      <c r="P46" s="339"/>
      <c r="Q46" s="339"/>
      <c r="R46" s="339"/>
      <c r="S46" s="339"/>
      <c r="T46" s="339"/>
      <c r="U46" s="339"/>
      <c r="V46" s="340"/>
    </row>
    <row r="47" spans="1:22" x14ac:dyDescent="0.2">
      <c r="A47" s="338"/>
      <c r="B47" s="339"/>
      <c r="C47" s="339"/>
      <c r="D47" s="339"/>
      <c r="E47" s="339"/>
      <c r="F47" s="339"/>
      <c r="G47" s="339"/>
      <c r="H47" s="339"/>
      <c r="I47" s="339"/>
      <c r="J47" s="339"/>
      <c r="K47" s="339"/>
      <c r="L47" s="339"/>
      <c r="M47" s="339"/>
      <c r="N47" s="339"/>
      <c r="O47" s="339"/>
      <c r="P47" s="339"/>
      <c r="Q47" s="339"/>
      <c r="R47" s="339"/>
      <c r="S47" s="339"/>
      <c r="T47" s="339"/>
      <c r="U47" s="339"/>
      <c r="V47" s="340"/>
    </row>
    <row r="48" spans="1:22" x14ac:dyDescent="0.2">
      <c r="A48" s="338"/>
      <c r="B48" s="339"/>
      <c r="C48" s="339"/>
      <c r="D48" s="339"/>
      <c r="E48" s="339"/>
      <c r="F48" s="339"/>
      <c r="G48" s="339"/>
      <c r="H48" s="339"/>
      <c r="I48" s="339"/>
      <c r="J48" s="339"/>
      <c r="K48" s="339"/>
      <c r="L48" s="339"/>
      <c r="M48" s="339"/>
      <c r="N48" s="339"/>
      <c r="O48" s="339"/>
      <c r="P48" s="339"/>
      <c r="Q48" s="339"/>
      <c r="R48" s="339"/>
      <c r="S48" s="339"/>
      <c r="T48" s="339"/>
      <c r="U48" s="339"/>
      <c r="V48" s="340"/>
    </row>
    <row r="49" spans="1:22" x14ac:dyDescent="0.2">
      <c r="A49" s="338"/>
      <c r="B49" s="339"/>
      <c r="C49" s="339"/>
      <c r="D49" s="339"/>
      <c r="E49" s="339"/>
      <c r="F49" s="339"/>
      <c r="G49" s="339"/>
      <c r="H49" s="339"/>
      <c r="I49" s="339"/>
      <c r="J49" s="339"/>
      <c r="K49" s="339"/>
      <c r="L49" s="339"/>
      <c r="M49" s="339"/>
      <c r="N49" s="339"/>
      <c r="O49" s="339"/>
      <c r="P49" s="339"/>
      <c r="Q49" s="339"/>
      <c r="R49" s="339"/>
      <c r="S49" s="339"/>
      <c r="T49" s="339"/>
      <c r="U49" s="339"/>
      <c r="V49" s="340"/>
    </row>
    <row r="50" spans="1:22" ht="16" thickBot="1" x14ac:dyDescent="0.25">
      <c r="A50" s="341"/>
      <c r="B50" s="342"/>
      <c r="C50" s="342"/>
      <c r="D50" s="342"/>
      <c r="E50" s="342"/>
      <c r="F50" s="342"/>
      <c r="G50" s="342"/>
      <c r="H50" s="342"/>
      <c r="I50" s="342"/>
      <c r="J50" s="342"/>
      <c r="K50" s="342"/>
      <c r="L50" s="342"/>
      <c r="M50" s="342"/>
      <c r="N50" s="342"/>
      <c r="O50" s="342"/>
      <c r="P50" s="342"/>
      <c r="Q50" s="342"/>
      <c r="R50" s="342"/>
      <c r="S50" s="342"/>
      <c r="T50" s="342"/>
      <c r="U50" s="342"/>
      <c r="V50" s="343"/>
    </row>
    <row r="51" spans="1:22" ht="21" x14ac:dyDescent="0.25">
      <c r="A51" s="332" t="s">
        <v>256</v>
      </c>
      <c r="B51" s="333"/>
      <c r="C51" s="333"/>
      <c r="D51" s="333"/>
      <c r="E51" s="333"/>
      <c r="F51" s="333"/>
      <c r="G51" s="333"/>
      <c r="H51" s="333"/>
      <c r="I51" s="333"/>
      <c r="J51" s="320"/>
      <c r="K51" s="320"/>
      <c r="L51" s="320"/>
      <c r="M51" s="320"/>
      <c r="N51" s="320"/>
      <c r="O51" s="320"/>
      <c r="P51" s="320"/>
      <c r="Q51" s="320"/>
      <c r="R51" s="320"/>
      <c r="S51" s="320"/>
      <c r="T51" s="320"/>
      <c r="U51" s="320"/>
      <c r="V51" s="321"/>
    </row>
    <row r="52" spans="1:22" ht="15" customHeight="1" x14ac:dyDescent="0.2">
      <c r="A52" s="336" t="s">
        <v>358</v>
      </c>
      <c r="B52" s="337"/>
      <c r="C52" s="337"/>
      <c r="D52" s="120" t="s">
        <v>241</v>
      </c>
      <c r="E52" s="120" t="s">
        <v>242</v>
      </c>
      <c r="F52" s="120" t="s">
        <v>243</v>
      </c>
      <c r="G52" s="120" t="s">
        <v>244</v>
      </c>
      <c r="H52" s="120" t="s">
        <v>245</v>
      </c>
      <c r="I52" s="120" t="s">
        <v>246</v>
      </c>
      <c r="J52" s="120" t="s">
        <v>247</v>
      </c>
      <c r="K52" s="120" t="s">
        <v>248</v>
      </c>
      <c r="L52" s="120" t="s">
        <v>249</v>
      </c>
      <c r="M52" s="120" t="s">
        <v>250</v>
      </c>
      <c r="N52" s="120" t="s">
        <v>251</v>
      </c>
      <c r="O52" s="120" t="s">
        <v>252</v>
      </c>
      <c r="P52" s="352"/>
      <c r="Q52" s="353"/>
      <c r="R52" s="353"/>
      <c r="S52" s="353"/>
      <c r="T52" s="353"/>
      <c r="U52" s="353"/>
      <c r="V52" s="354"/>
    </row>
    <row r="53" spans="1:22" x14ac:dyDescent="0.2">
      <c r="A53" s="324">
        <v>1</v>
      </c>
      <c r="B53" s="325"/>
      <c r="C53" s="325"/>
      <c r="D53" s="325"/>
      <c r="E53" s="325"/>
      <c r="F53" s="325"/>
      <c r="G53" s="325"/>
      <c r="H53" s="325"/>
      <c r="I53" s="325"/>
      <c r="J53" s="325"/>
      <c r="K53" s="325"/>
      <c r="L53" s="325"/>
      <c r="M53" s="325"/>
      <c r="N53" s="325"/>
      <c r="O53" s="325"/>
      <c r="P53" s="325"/>
      <c r="Q53" s="325"/>
      <c r="R53" s="325"/>
      <c r="S53" s="325"/>
      <c r="T53" s="325"/>
      <c r="U53" s="325"/>
      <c r="V53" s="326"/>
    </row>
    <row r="54" spans="1:22" x14ac:dyDescent="0.2">
      <c r="A54" s="324"/>
      <c r="B54" s="325"/>
      <c r="C54" s="325"/>
      <c r="D54" s="325"/>
      <c r="E54" s="325"/>
      <c r="F54" s="325"/>
      <c r="G54" s="325"/>
      <c r="H54" s="325"/>
      <c r="I54" s="325"/>
      <c r="J54" s="325"/>
      <c r="K54" s="325"/>
      <c r="L54" s="325"/>
      <c r="M54" s="325"/>
      <c r="N54" s="325"/>
      <c r="O54" s="325"/>
      <c r="P54" s="325"/>
      <c r="Q54" s="325"/>
      <c r="R54" s="325"/>
      <c r="S54" s="325"/>
      <c r="T54" s="325"/>
      <c r="U54" s="325"/>
      <c r="V54" s="326"/>
    </row>
    <row r="55" spans="1:22" x14ac:dyDescent="0.2">
      <c r="A55" s="324"/>
      <c r="B55" s="325"/>
      <c r="C55" s="325"/>
      <c r="D55" s="325"/>
      <c r="E55" s="325"/>
      <c r="F55" s="325"/>
      <c r="G55" s="325"/>
      <c r="H55" s="325"/>
      <c r="I55" s="325"/>
      <c r="J55" s="325"/>
      <c r="K55" s="325"/>
      <c r="L55" s="325"/>
      <c r="M55" s="325"/>
      <c r="N55" s="325"/>
      <c r="O55" s="325"/>
      <c r="P55" s="325"/>
      <c r="Q55" s="325"/>
      <c r="R55" s="325"/>
      <c r="S55" s="325"/>
      <c r="T55" s="325"/>
      <c r="U55" s="325"/>
      <c r="V55" s="326"/>
    </row>
    <row r="56" spans="1:22" x14ac:dyDescent="0.2">
      <c r="A56" s="324"/>
      <c r="B56" s="325"/>
      <c r="C56" s="325"/>
      <c r="D56" s="325"/>
      <c r="E56" s="325"/>
      <c r="F56" s="325"/>
      <c r="G56" s="325"/>
      <c r="H56" s="325"/>
      <c r="I56" s="325"/>
      <c r="J56" s="325"/>
      <c r="K56" s="325"/>
      <c r="L56" s="325"/>
      <c r="M56" s="325"/>
      <c r="N56" s="325"/>
      <c r="O56" s="325"/>
      <c r="P56" s="325"/>
      <c r="Q56" s="325"/>
      <c r="R56" s="325"/>
      <c r="S56" s="325"/>
      <c r="T56" s="325"/>
      <c r="U56" s="325"/>
      <c r="V56" s="326"/>
    </row>
    <row r="57" spans="1:22" x14ac:dyDescent="0.2">
      <c r="A57" s="324"/>
      <c r="B57" s="325"/>
      <c r="C57" s="325"/>
      <c r="D57" s="325"/>
      <c r="E57" s="325"/>
      <c r="F57" s="325"/>
      <c r="G57" s="325"/>
      <c r="H57" s="325"/>
      <c r="I57" s="325"/>
      <c r="J57" s="325"/>
      <c r="K57" s="325"/>
      <c r="L57" s="325"/>
      <c r="M57" s="325"/>
      <c r="N57" s="325"/>
      <c r="O57" s="325"/>
      <c r="P57" s="325"/>
      <c r="Q57" s="325"/>
      <c r="R57" s="325"/>
      <c r="S57" s="325"/>
      <c r="T57" s="325"/>
      <c r="U57" s="325"/>
      <c r="V57" s="326"/>
    </row>
    <row r="58" spans="1:22" x14ac:dyDescent="0.2">
      <c r="A58" s="324"/>
      <c r="B58" s="325"/>
      <c r="C58" s="325"/>
      <c r="D58" s="325"/>
      <c r="E58" s="325"/>
      <c r="F58" s="325"/>
      <c r="G58" s="325"/>
      <c r="H58" s="325"/>
      <c r="I58" s="325"/>
      <c r="J58" s="325"/>
      <c r="K58" s="325"/>
      <c r="L58" s="325"/>
      <c r="M58" s="325"/>
      <c r="N58" s="325"/>
      <c r="O58" s="325"/>
      <c r="P58" s="325"/>
      <c r="Q58" s="325"/>
      <c r="R58" s="325"/>
      <c r="S58" s="325"/>
      <c r="T58" s="325"/>
      <c r="U58" s="325"/>
      <c r="V58" s="326"/>
    </row>
    <row r="59" spans="1:22" x14ac:dyDescent="0.2">
      <c r="A59" s="324"/>
      <c r="B59" s="325"/>
      <c r="C59" s="325"/>
      <c r="D59" s="325"/>
      <c r="E59" s="325"/>
      <c r="F59" s="325"/>
      <c r="G59" s="325"/>
      <c r="H59" s="325"/>
      <c r="I59" s="325"/>
      <c r="J59" s="325"/>
      <c r="K59" s="325"/>
      <c r="L59" s="325"/>
      <c r="M59" s="325"/>
      <c r="N59" s="325"/>
      <c r="O59" s="325"/>
      <c r="P59" s="325"/>
      <c r="Q59" s="325"/>
      <c r="R59" s="325"/>
      <c r="S59" s="325"/>
      <c r="T59" s="325"/>
      <c r="U59" s="325"/>
      <c r="V59" s="326"/>
    </row>
    <row r="60" spans="1:22" x14ac:dyDescent="0.2">
      <c r="A60" s="324"/>
      <c r="B60" s="325"/>
      <c r="C60" s="325"/>
      <c r="D60" s="325"/>
      <c r="E60" s="325"/>
      <c r="F60" s="325"/>
      <c r="G60" s="325"/>
      <c r="H60" s="325"/>
      <c r="I60" s="325"/>
      <c r="J60" s="325"/>
      <c r="K60" s="325"/>
      <c r="L60" s="325"/>
      <c r="M60" s="325"/>
      <c r="N60" s="325"/>
      <c r="O60" s="325"/>
      <c r="P60" s="325"/>
      <c r="Q60" s="325"/>
      <c r="R60" s="325"/>
      <c r="S60" s="325"/>
      <c r="T60" s="325"/>
      <c r="U60" s="325"/>
      <c r="V60" s="326"/>
    </row>
    <row r="61" spans="1:22" x14ac:dyDescent="0.2">
      <c r="A61" s="324"/>
      <c r="B61" s="325"/>
      <c r="C61" s="325"/>
      <c r="D61" s="325"/>
      <c r="E61" s="325"/>
      <c r="F61" s="325"/>
      <c r="G61" s="325"/>
      <c r="H61" s="325"/>
      <c r="I61" s="325"/>
      <c r="J61" s="325"/>
      <c r="K61" s="325"/>
      <c r="L61" s="325"/>
      <c r="M61" s="325"/>
      <c r="N61" s="325"/>
      <c r="O61" s="325"/>
      <c r="P61" s="325"/>
      <c r="Q61" s="325"/>
      <c r="R61" s="325"/>
      <c r="S61" s="325"/>
      <c r="T61" s="325"/>
      <c r="U61" s="325"/>
      <c r="V61" s="326"/>
    </row>
    <row r="62" spans="1:22" x14ac:dyDescent="0.2">
      <c r="A62" s="324"/>
      <c r="B62" s="325"/>
      <c r="C62" s="325"/>
      <c r="D62" s="325"/>
      <c r="E62" s="325"/>
      <c r="F62" s="325"/>
      <c r="G62" s="325"/>
      <c r="H62" s="325"/>
      <c r="I62" s="325"/>
      <c r="J62" s="325"/>
      <c r="K62" s="325"/>
      <c r="L62" s="325"/>
      <c r="M62" s="325"/>
      <c r="N62" s="325"/>
      <c r="O62" s="325"/>
      <c r="P62" s="325"/>
      <c r="Q62" s="325"/>
      <c r="R62" s="325"/>
      <c r="S62" s="325"/>
      <c r="T62" s="325"/>
      <c r="U62" s="325"/>
      <c r="V62" s="326"/>
    </row>
    <row r="63" spans="1:22" x14ac:dyDescent="0.2">
      <c r="A63" s="324"/>
      <c r="B63" s="325"/>
      <c r="C63" s="325"/>
      <c r="D63" s="325"/>
      <c r="E63" s="325"/>
      <c r="F63" s="325"/>
      <c r="G63" s="325"/>
      <c r="H63" s="325"/>
      <c r="I63" s="325"/>
      <c r="J63" s="325"/>
      <c r="K63" s="325"/>
      <c r="L63" s="325"/>
      <c r="M63" s="325"/>
      <c r="N63" s="325"/>
      <c r="O63" s="325"/>
      <c r="P63" s="325"/>
      <c r="Q63" s="325"/>
      <c r="R63" s="325"/>
      <c r="S63" s="325"/>
      <c r="T63" s="325"/>
      <c r="U63" s="325"/>
      <c r="V63" s="326"/>
    </row>
    <row r="64" spans="1:22" x14ac:dyDescent="0.2">
      <c r="A64" s="324"/>
      <c r="B64" s="325"/>
      <c r="C64" s="325"/>
      <c r="D64" s="325"/>
      <c r="E64" s="325"/>
      <c r="F64" s="325"/>
      <c r="G64" s="325"/>
      <c r="H64" s="325"/>
      <c r="I64" s="325"/>
      <c r="J64" s="325"/>
      <c r="K64" s="325"/>
      <c r="L64" s="325"/>
      <c r="M64" s="325"/>
      <c r="N64" s="325"/>
      <c r="O64" s="325"/>
      <c r="P64" s="325"/>
      <c r="Q64" s="325"/>
      <c r="R64" s="325"/>
      <c r="S64" s="325"/>
      <c r="T64" s="325"/>
      <c r="U64" s="325"/>
      <c r="V64" s="326"/>
    </row>
    <row r="65" spans="1:22" x14ac:dyDescent="0.2">
      <c r="A65" s="324"/>
      <c r="B65" s="325"/>
      <c r="C65" s="325"/>
      <c r="D65" s="325"/>
      <c r="E65" s="325"/>
      <c r="F65" s="325"/>
      <c r="G65" s="325"/>
      <c r="H65" s="325"/>
      <c r="I65" s="325"/>
      <c r="J65" s="325"/>
      <c r="K65" s="325"/>
      <c r="L65" s="325"/>
      <c r="M65" s="325"/>
      <c r="N65" s="325"/>
      <c r="O65" s="325"/>
      <c r="P65" s="325"/>
      <c r="Q65" s="325"/>
      <c r="R65" s="325"/>
      <c r="S65" s="325"/>
      <c r="T65" s="325"/>
      <c r="U65" s="325"/>
      <c r="V65" s="326"/>
    </row>
    <row r="66" spans="1:22" ht="16" thickBot="1" x14ac:dyDescent="0.25">
      <c r="A66" s="327"/>
      <c r="B66" s="328"/>
      <c r="C66" s="328"/>
      <c r="D66" s="328"/>
      <c r="E66" s="328"/>
      <c r="F66" s="328"/>
      <c r="G66" s="328"/>
      <c r="H66" s="328"/>
      <c r="I66" s="328"/>
      <c r="J66" s="328"/>
      <c r="K66" s="328"/>
      <c r="L66" s="328"/>
      <c r="M66" s="328"/>
      <c r="N66" s="328"/>
      <c r="O66" s="328"/>
      <c r="P66" s="328"/>
      <c r="Q66" s="328"/>
      <c r="R66" s="328"/>
      <c r="S66" s="328"/>
      <c r="T66" s="328"/>
      <c r="U66" s="328"/>
      <c r="V66" s="329"/>
    </row>
    <row r="67" spans="1:22" ht="21" x14ac:dyDescent="0.25">
      <c r="A67" s="316" t="s">
        <v>257</v>
      </c>
      <c r="B67" s="317"/>
      <c r="C67" s="317"/>
      <c r="D67" s="317"/>
      <c r="E67" s="317"/>
      <c r="F67" s="317"/>
      <c r="G67" s="317"/>
      <c r="H67" s="317"/>
      <c r="I67" s="317"/>
      <c r="J67" s="322"/>
      <c r="K67" s="322"/>
      <c r="L67" s="322"/>
      <c r="M67" s="322"/>
      <c r="N67" s="322"/>
      <c r="O67" s="322"/>
      <c r="P67" s="322"/>
      <c r="Q67" s="322"/>
      <c r="R67" s="322"/>
      <c r="S67" s="322"/>
      <c r="T67" s="322"/>
      <c r="U67" s="322"/>
      <c r="V67" s="323"/>
    </row>
    <row r="68" spans="1:22" ht="16" x14ac:dyDescent="0.2">
      <c r="A68" s="336" t="s">
        <v>358</v>
      </c>
      <c r="B68" s="337"/>
      <c r="C68" s="337"/>
      <c r="D68" s="119" t="s">
        <v>241</v>
      </c>
      <c r="E68" s="119" t="s">
        <v>242</v>
      </c>
      <c r="F68" s="119" t="s">
        <v>243</v>
      </c>
      <c r="G68" s="119" t="s">
        <v>244</v>
      </c>
      <c r="H68" s="119" t="s">
        <v>245</v>
      </c>
      <c r="I68" s="119" t="s">
        <v>246</v>
      </c>
      <c r="J68" s="119" t="s">
        <v>247</v>
      </c>
      <c r="K68" s="119" t="s">
        <v>248</v>
      </c>
      <c r="L68" s="119" t="s">
        <v>249</v>
      </c>
      <c r="M68" s="119" t="s">
        <v>250</v>
      </c>
      <c r="N68" s="119" t="s">
        <v>251</v>
      </c>
      <c r="O68" s="119" t="s">
        <v>252</v>
      </c>
      <c r="P68" s="352"/>
      <c r="Q68" s="353"/>
      <c r="R68" s="353"/>
      <c r="S68" s="353"/>
      <c r="T68" s="353"/>
      <c r="U68" s="353"/>
      <c r="V68" s="354"/>
    </row>
    <row r="69" spans="1:22" x14ac:dyDescent="0.2">
      <c r="A69" s="338">
        <v>1</v>
      </c>
      <c r="B69" s="339"/>
      <c r="C69" s="339"/>
      <c r="D69" s="339"/>
      <c r="E69" s="339"/>
      <c r="F69" s="339"/>
      <c r="G69" s="339"/>
      <c r="H69" s="339"/>
      <c r="I69" s="339"/>
      <c r="J69" s="339"/>
      <c r="K69" s="339"/>
      <c r="L69" s="339"/>
      <c r="M69" s="339"/>
      <c r="N69" s="339"/>
      <c r="O69" s="339"/>
      <c r="P69" s="339"/>
      <c r="Q69" s="339"/>
      <c r="R69" s="339"/>
      <c r="S69" s="339"/>
      <c r="T69" s="339"/>
      <c r="U69" s="339"/>
      <c r="V69" s="340"/>
    </row>
    <row r="70" spans="1:22" x14ac:dyDescent="0.2">
      <c r="A70" s="338"/>
      <c r="B70" s="339"/>
      <c r="C70" s="339"/>
      <c r="D70" s="339"/>
      <c r="E70" s="339"/>
      <c r="F70" s="339"/>
      <c r="G70" s="339"/>
      <c r="H70" s="339"/>
      <c r="I70" s="339"/>
      <c r="J70" s="339"/>
      <c r="K70" s="339"/>
      <c r="L70" s="339"/>
      <c r="M70" s="339"/>
      <c r="N70" s="339"/>
      <c r="O70" s="339"/>
      <c r="P70" s="339"/>
      <c r="Q70" s="339"/>
      <c r="R70" s="339"/>
      <c r="S70" s="339"/>
      <c r="T70" s="339"/>
      <c r="U70" s="339"/>
      <c r="V70" s="340"/>
    </row>
    <row r="71" spans="1:22" x14ac:dyDescent="0.2">
      <c r="A71" s="338"/>
      <c r="B71" s="339"/>
      <c r="C71" s="339"/>
      <c r="D71" s="339"/>
      <c r="E71" s="339"/>
      <c r="F71" s="339"/>
      <c r="G71" s="339"/>
      <c r="H71" s="339"/>
      <c r="I71" s="339"/>
      <c r="J71" s="339"/>
      <c r="K71" s="339"/>
      <c r="L71" s="339"/>
      <c r="M71" s="339"/>
      <c r="N71" s="339"/>
      <c r="O71" s="339"/>
      <c r="P71" s="339"/>
      <c r="Q71" s="339"/>
      <c r="R71" s="339"/>
      <c r="S71" s="339"/>
      <c r="T71" s="339"/>
      <c r="U71" s="339"/>
      <c r="V71" s="340"/>
    </row>
    <row r="72" spans="1:22" x14ac:dyDescent="0.2">
      <c r="A72" s="338"/>
      <c r="B72" s="339"/>
      <c r="C72" s="339"/>
      <c r="D72" s="339"/>
      <c r="E72" s="339"/>
      <c r="F72" s="339"/>
      <c r="G72" s="339"/>
      <c r="H72" s="339"/>
      <c r="I72" s="339"/>
      <c r="J72" s="339"/>
      <c r="K72" s="339"/>
      <c r="L72" s="339"/>
      <c r="M72" s="339"/>
      <c r="N72" s="339"/>
      <c r="O72" s="339"/>
      <c r="P72" s="339"/>
      <c r="Q72" s="339"/>
      <c r="R72" s="339"/>
      <c r="S72" s="339"/>
      <c r="T72" s="339"/>
      <c r="U72" s="339"/>
      <c r="V72" s="340"/>
    </row>
    <row r="73" spans="1:22" x14ac:dyDescent="0.2">
      <c r="A73" s="338"/>
      <c r="B73" s="339"/>
      <c r="C73" s="339"/>
      <c r="D73" s="339"/>
      <c r="E73" s="339"/>
      <c r="F73" s="339"/>
      <c r="G73" s="339"/>
      <c r="H73" s="339"/>
      <c r="I73" s="339"/>
      <c r="J73" s="339"/>
      <c r="K73" s="339"/>
      <c r="L73" s="339"/>
      <c r="M73" s="339"/>
      <c r="N73" s="339"/>
      <c r="O73" s="339"/>
      <c r="P73" s="339"/>
      <c r="Q73" s="339"/>
      <c r="R73" s="339"/>
      <c r="S73" s="339"/>
      <c r="T73" s="339"/>
      <c r="U73" s="339"/>
      <c r="V73" s="340"/>
    </row>
    <row r="74" spans="1:22" x14ac:dyDescent="0.2">
      <c r="A74" s="338"/>
      <c r="B74" s="339"/>
      <c r="C74" s="339"/>
      <c r="D74" s="339"/>
      <c r="E74" s="339"/>
      <c r="F74" s="339"/>
      <c r="G74" s="339"/>
      <c r="H74" s="339"/>
      <c r="I74" s="339"/>
      <c r="J74" s="339"/>
      <c r="K74" s="339"/>
      <c r="L74" s="339"/>
      <c r="M74" s="339"/>
      <c r="N74" s="339"/>
      <c r="O74" s="339"/>
      <c r="P74" s="339"/>
      <c r="Q74" s="339"/>
      <c r="R74" s="339"/>
      <c r="S74" s="339"/>
      <c r="T74" s="339"/>
      <c r="U74" s="339"/>
      <c r="V74" s="340"/>
    </row>
    <row r="75" spans="1:22" x14ac:dyDescent="0.2">
      <c r="A75" s="338"/>
      <c r="B75" s="339"/>
      <c r="C75" s="339"/>
      <c r="D75" s="339"/>
      <c r="E75" s="339"/>
      <c r="F75" s="339"/>
      <c r="G75" s="339"/>
      <c r="H75" s="339"/>
      <c r="I75" s="339"/>
      <c r="J75" s="339"/>
      <c r="K75" s="339"/>
      <c r="L75" s="339"/>
      <c r="M75" s="339"/>
      <c r="N75" s="339"/>
      <c r="O75" s="339"/>
      <c r="P75" s="339"/>
      <c r="Q75" s="339"/>
      <c r="R75" s="339"/>
      <c r="S75" s="339"/>
      <c r="T75" s="339"/>
      <c r="U75" s="339"/>
      <c r="V75" s="340"/>
    </row>
    <row r="76" spans="1:22" x14ac:dyDescent="0.2">
      <c r="A76" s="338"/>
      <c r="B76" s="339"/>
      <c r="C76" s="339"/>
      <c r="D76" s="339"/>
      <c r="E76" s="339"/>
      <c r="F76" s="339"/>
      <c r="G76" s="339"/>
      <c r="H76" s="339"/>
      <c r="I76" s="339"/>
      <c r="J76" s="339"/>
      <c r="K76" s="339"/>
      <c r="L76" s="339"/>
      <c r="M76" s="339"/>
      <c r="N76" s="339"/>
      <c r="O76" s="339"/>
      <c r="P76" s="339"/>
      <c r="Q76" s="339"/>
      <c r="R76" s="339"/>
      <c r="S76" s="339"/>
      <c r="T76" s="339"/>
      <c r="U76" s="339"/>
      <c r="V76" s="340"/>
    </row>
    <row r="77" spans="1:22" x14ac:dyDescent="0.2">
      <c r="A77" s="338"/>
      <c r="B77" s="339"/>
      <c r="C77" s="339"/>
      <c r="D77" s="339"/>
      <c r="E77" s="339"/>
      <c r="F77" s="339"/>
      <c r="G77" s="339"/>
      <c r="H77" s="339"/>
      <c r="I77" s="339"/>
      <c r="J77" s="339"/>
      <c r="K77" s="339"/>
      <c r="L77" s="339"/>
      <c r="M77" s="339"/>
      <c r="N77" s="339"/>
      <c r="O77" s="339"/>
      <c r="P77" s="339"/>
      <c r="Q77" s="339"/>
      <c r="R77" s="339"/>
      <c r="S77" s="339"/>
      <c r="T77" s="339"/>
      <c r="U77" s="339"/>
      <c r="V77" s="340"/>
    </row>
    <row r="78" spans="1:22" x14ac:dyDescent="0.2">
      <c r="A78" s="338"/>
      <c r="B78" s="339"/>
      <c r="C78" s="339"/>
      <c r="D78" s="339"/>
      <c r="E78" s="339"/>
      <c r="F78" s="339"/>
      <c r="G78" s="339"/>
      <c r="H78" s="339"/>
      <c r="I78" s="339"/>
      <c r="J78" s="339"/>
      <c r="K78" s="339"/>
      <c r="L78" s="339"/>
      <c r="M78" s="339"/>
      <c r="N78" s="339"/>
      <c r="O78" s="339"/>
      <c r="P78" s="339"/>
      <c r="Q78" s="339"/>
      <c r="R78" s="339"/>
      <c r="S78" s="339"/>
      <c r="T78" s="339"/>
      <c r="U78" s="339"/>
      <c r="V78" s="340"/>
    </row>
    <row r="79" spans="1:22" x14ac:dyDescent="0.2">
      <c r="A79" s="338"/>
      <c r="B79" s="339"/>
      <c r="C79" s="339"/>
      <c r="D79" s="339"/>
      <c r="E79" s="339"/>
      <c r="F79" s="339"/>
      <c r="G79" s="339"/>
      <c r="H79" s="339"/>
      <c r="I79" s="339"/>
      <c r="J79" s="339"/>
      <c r="K79" s="339"/>
      <c r="L79" s="339"/>
      <c r="M79" s="339"/>
      <c r="N79" s="339"/>
      <c r="O79" s="339"/>
      <c r="P79" s="339"/>
      <c r="Q79" s="339"/>
      <c r="R79" s="339"/>
      <c r="S79" s="339"/>
      <c r="T79" s="339"/>
      <c r="U79" s="339"/>
      <c r="V79" s="340"/>
    </row>
    <row r="80" spans="1:22" x14ac:dyDescent="0.2">
      <c r="A80" s="338"/>
      <c r="B80" s="339"/>
      <c r="C80" s="339"/>
      <c r="D80" s="339"/>
      <c r="E80" s="339"/>
      <c r="F80" s="339"/>
      <c r="G80" s="339"/>
      <c r="H80" s="339"/>
      <c r="I80" s="339"/>
      <c r="J80" s="339"/>
      <c r="K80" s="339"/>
      <c r="L80" s="339"/>
      <c r="M80" s="339"/>
      <c r="N80" s="339"/>
      <c r="O80" s="339"/>
      <c r="P80" s="339"/>
      <c r="Q80" s="339"/>
      <c r="R80" s="339"/>
      <c r="S80" s="339"/>
      <c r="T80" s="339"/>
      <c r="U80" s="339"/>
      <c r="V80" s="340"/>
    </row>
    <row r="81" spans="1:22" x14ac:dyDescent="0.2">
      <c r="A81" s="338"/>
      <c r="B81" s="339"/>
      <c r="C81" s="339"/>
      <c r="D81" s="339"/>
      <c r="E81" s="339"/>
      <c r="F81" s="339"/>
      <c r="G81" s="339"/>
      <c r="H81" s="339"/>
      <c r="I81" s="339"/>
      <c r="J81" s="339"/>
      <c r="K81" s="339"/>
      <c r="L81" s="339"/>
      <c r="M81" s="339"/>
      <c r="N81" s="339"/>
      <c r="O81" s="339"/>
      <c r="P81" s="339"/>
      <c r="Q81" s="339"/>
      <c r="R81" s="339"/>
      <c r="S81" s="339"/>
      <c r="T81" s="339"/>
      <c r="U81" s="339"/>
      <c r="V81" s="340"/>
    </row>
    <row r="82" spans="1:22" ht="16" thickBot="1" x14ac:dyDescent="0.25">
      <c r="A82" s="341"/>
      <c r="B82" s="342"/>
      <c r="C82" s="342"/>
      <c r="D82" s="342"/>
      <c r="E82" s="342"/>
      <c r="F82" s="342"/>
      <c r="G82" s="342"/>
      <c r="H82" s="342"/>
      <c r="I82" s="342"/>
      <c r="J82" s="342"/>
      <c r="K82" s="342"/>
      <c r="L82" s="342"/>
      <c r="M82" s="342"/>
      <c r="N82" s="342"/>
      <c r="O82" s="342"/>
      <c r="P82" s="342"/>
      <c r="Q82" s="342"/>
      <c r="R82" s="342"/>
      <c r="S82" s="342"/>
      <c r="T82" s="342"/>
      <c r="U82" s="342"/>
      <c r="V82" s="343"/>
    </row>
  </sheetData>
  <mergeCells count="32">
    <mergeCell ref="A69:V82"/>
    <mergeCell ref="A21:V34"/>
    <mergeCell ref="A37:V50"/>
    <mergeCell ref="A3:V18"/>
    <mergeCell ref="A2:C2"/>
    <mergeCell ref="H2:I2"/>
    <mergeCell ref="J2:K2"/>
    <mergeCell ref="L2:M2"/>
    <mergeCell ref="A68:C68"/>
    <mergeCell ref="L20:V20"/>
    <mergeCell ref="N2:V2"/>
    <mergeCell ref="L36:V36"/>
    <mergeCell ref="P52:V52"/>
    <mergeCell ref="P68:V68"/>
    <mergeCell ref="A52:C52"/>
    <mergeCell ref="A20:C20"/>
    <mergeCell ref="A67:I67"/>
    <mergeCell ref="J1:V1"/>
    <mergeCell ref="J19:V19"/>
    <mergeCell ref="J35:V35"/>
    <mergeCell ref="J51:V51"/>
    <mergeCell ref="J67:V67"/>
    <mergeCell ref="A53:V66"/>
    <mergeCell ref="A1:I1"/>
    <mergeCell ref="A19:I19"/>
    <mergeCell ref="A35:I35"/>
    <mergeCell ref="A51:I51"/>
    <mergeCell ref="H20:I20"/>
    <mergeCell ref="J20:K20"/>
    <mergeCell ref="A36:C36"/>
    <mergeCell ref="H36:I36"/>
    <mergeCell ref="J36:K36"/>
  </mergeCells>
  <phoneticPr fontId="1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99CD3-58DF-4974-A8F4-BB157E85BFD3}">
  <sheetPr codeName="Sheet22">
    <tabColor rgb="FFFF0000"/>
  </sheetPr>
  <dimension ref="A1:AR66"/>
  <sheetViews>
    <sheetView topLeftCell="A3" workbookViewId="0">
      <selection activeCell="M18" sqref="M18"/>
    </sheetView>
  </sheetViews>
  <sheetFormatPr baseColWidth="10" defaultColWidth="8.83203125" defaultRowHeight="15" x14ac:dyDescent="0.2"/>
  <cols>
    <col min="2" max="2" width="17.5" bestFit="1" customWidth="1"/>
    <col min="5" max="5" width="10.83203125" bestFit="1" customWidth="1"/>
  </cols>
  <sheetData>
    <row r="1" spans="1:44" ht="16" thickBot="1" x14ac:dyDescent="0.25">
      <c r="A1" s="355" t="s">
        <v>270</v>
      </c>
      <c r="B1" s="356"/>
      <c r="C1" s="356"/>
      <c r="D1" s="356"/>
      <c r="E1" s="357"/>
      <c r="F1" s="192"/>
      <c r="G1" s="192"/>
      <c r="H1" s="192"/>
      <c r="I1" s="192"/>
      <c r="J1" s="192"/>
      <c r="K1" s="192"/>
      <c r="L1" s="192"/>
      <c r="M1" s="192"/>
      <c r="N1" s="192"/>
      <c r="O1" s="192"/>
      <c r="P1" s="192"/>
      <c r="Q1" s="192"/>
      <c r="R1" s="192"/>
      <c r="S1" s="192"/>
      <c r="T1" s="192"/>
      <c r="U1" s="192"/>
      <c r="V1" s="192"/>
      <c r="W1" s="192"/>
      <c r="X1" s="192"/>
      <c r="Y1" s="192"/>
      <c r="Z1" s="192"/>
      <c r="AA1" s="192"/>
      <c r="AB1" s="192"/>
      <c r="AC1" s="192"/>
      <c r="AD1" s="192"/>
      <c r="AE1" s="192"/>
      <c r="AF1" s="192"/>
      <c r="AG1" s="192"/>
      <c r="AH1" s="192"/>
      <c r="AI1" s="192"/>
      <c r="AJ1" s="192"/>
      <c r="AK1" s="192"/>
      <c r="AL1" s="192"/>
      <c r="AM1" s="192"/>
      <c r="AN1" s="192"/>
      <c r="AO1" s="192"/>
      <c r="AP1" s="192"/>
      <c r="AQ1" s="192"/>
      <c r="AR1" s="192"/>
    </row>
    <row r="2" spans="1:44" ht="16" thickBot="1" x14ac:dyDescent="0.25">
      <c r="A2" s="187" t="s">
        <v>331</v>
      </c>
      <c r="B2" s="188">
        <v>2023</v>
      </c>
      <c r="C2" s="191"/>
      <c r="D2" s="188" t="s">
        <v>331</v>
      </c>
      <c r="E2" s="188">
        <v>2023</v>
      </c>
      <c r="F2" s="192"/>
      <c r="G2" s="192"/>
      <c r="H2" s="192"/>
      <c r="I2" s="192"/>
      <c r="J2" s="192"/>
      <c r="K2" s="192"/>
      <c r="L2" s="192"/>
      <c r="M2" s="192"/>
      <c r="N2" s="192"/>
      <c r="O2" s="192"/>
      <c r="P2" s="192"/>
      <c r="Q2" s="192"/>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2"/>
    </row>
    <row r="3" spans="1:44" ht="16" thickBot="1" x14ac:dyDescent="0.25">
      <c r="A3" s="140" t="s">
        <v>271</v>
      </c>
      <c r="B3" s="141" t="s">
        <v>272</v>
      </c>
      <c r="C3" s="192"/>
      <c r="D3" s="188" t="s">
        <v>381</v>
      </c>
      <c r="E3" s="188" t="s">
        <v>382</v>
      </c>
      <c r="F3" s="192"/>
      <c r="G3" s="192"/>
      <c r="H3" s="192"/>
      <c r="I3" s="192"/>
      <c r="J3" s="192"/>
      <c r="K3" s="192"/>
      <c r="L3" s="192"/>
      <c r="M3" s="192"/>
      <c r="N3" s="192"/>
      <c r="O3" s="192"/>
      <c r="P3" s="192"/>
      <c r="Q3" s="192"/>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row>
    <row r="4" spans="1:44" x14ac:dyDescent="0.2">
      <c r="A4" s="168">
        <v>1</v>
      </c>
      <c r="B4" s="189" t="s">
        <v>273</v>
      </c>
      <c r="C4" s="192"/>
      <c r="D4" s="1">
        <v>1</v>
      </c>
      <c r="E4" s="2" t="s">
        <v>383</v>
      </c>
      <c r="F4" s="192"/>
      <c r="G4" s="192"/>
      <c r="H4" s="192"/>
      <c r="I4" s="192"/>
      <c r="J4" s="192"/>
      <c r="K4" s="192"/>
      <c r="L4" s="192"/>
      <c r="M4" s="192"/>
      <c r="N4" s="192"/>
      <c r="O4" s="192"/>
      <c r="P4" s="192"/>
      <c r="Q4" s="192"/>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row>
    <row r="5" spans="1:44" x14ac:dyDescent="0.2">
      <c r="A5" s="168">
        <v>2</v>
      </c>
      <c r="B5" s="189" t="s">
        <v>274</v>
      </c>
      <c r="C5" s="192"/>
      <c r="D5" s="1">
        <v>2</v>
      </c>
      <c r="E5" s="2" t="s">
        <v>384</v>
      </c>
      <c r="F5" s="192"/>
      <c r="G5" s="192"/>
      <c r="H5" s="192"/>
      <c r="I5" s="192"/>
      <c r="J5" s="192"/>
      <c r="K5" s="192"/>
      <c r="L5" s="192"/>
      <c r="M5" s="192"/>
      <c r="N5" s="192"/>
      <c r="O5" s="192"/>
      <c r="P5" s="192"/>
      <c r="Q5" s="192"/>
      <c r="R5" s="192"/>
      <c r="S5" s="192"/>
      <c r="T5" s="192"/>
      <c r="U5" s="192"/>
      <c r="V5" s="192"/>
      <c r="W5" s="192"/>
      <c r="X5" s="192"/>
      <c r="Y5" s="192"/>
      <c r="Z5" s="192"/>
      <c r="AA5" s="192"/>
      <c r="AB5" s="192"/>
      <c r="AC5" s="192"/>
      <c r="AD5" s="192"/>
      <c r="AE5" s="192"/>
      <c r="AF5" s="192"/>
      <c r="AG5" s="192"/>
      <c r="AH5" s="192"/>
      <c r="AI5" s="192"/>
      <c r="AJ5" s="192"/>
      <c r="AK5" s="192"/>
      <c r="AL5" s="192"/>
      <c r="AM5" s="192"/>
      <c r="AN5" s="192"/>
      <c r="AO5" s="192"/>
      <c r="AP5" s="192"/>
      <c r="AQ5" s="192"/>
      <c r="AR5" s="192"/>
    </row>
    <row r="6" spans="1:44" x14ac:dyDescent="0.2">
      <c r="A6" s="168">
        <v>3</v>
      </c>
      <c r="B6" s="189" t="s">
        <v>275</v>
      </c>
      <c r="C6" s="192"/>
      <c r="D6" s="1">
        <v>3</v>
      </c>
      <c r="E6" s="2" t="s">
        <v>385</v>
      </c>
      <c r="F6" s="192"/>
      <c r="G6" s="192"/>
      <c r="H6" s="192"/>
      <c r="I6" s="192"/>
      <c r="J6" s="192"/>
      <c r="K6" s="192"/>
      <c r="L6" s="192"/>
      <c r="M6" s="192"/>
      <c r="N6" s="192"/>
      <c r="O6" s="192"/>
      <c r="P6" s="192"/>
      <c r="Q6" s="192"/>
      <c r="R6" s="192"/>
      <c r="S6" s="192"/>
      <c r="T6" s="192"/>
      <c r="U6" s="192"/>
      <c r="V6" s="192"/>
      <c r="W6" s="192"/>
      <c r="X6" s="192"/>
      <c r="Y6" s="192"/>
      <c r="Z6" s="192"/>
      <c r="AA6" s="192"/>
      <c r="AB6" s="192"/>
      <c r="AC6" s="192"/>
      <c r="AD6" s="192"/>
      <c r="AE6" s="192"/>
      <c r="AF6" s="192"/>
      <c r="AG6" s="192"/>
      <c r="AH6" s="192"/>
      <c r="AI6" s="192"/>
      <c r="AJ6" s="192"/>
      <c r="AK6" s="192"/>
      <c r="AL6" s="192"/>
      <c r="AM6" s="192"/>
      <c r="AN6" s="192"/>
      <c r="AO6" s="192"/>
      <c r="AP6" s="192"/>
      <c r="AQ6" s="192"/>
      <c r="AR6" s="192"/>
    </row>
    <row r="7" spans="1:44" x14ac:dyDescent="0.2">
      <c r="A7" s="168">
        <v>4</v>
      </c>
      <c r="B7" s="189" t="s">
        <v>276</v>
      </c>
      <c r="C7" s="192"/>
      <c r="D7" s="1">
        <v>4</v>
      </c>
      <c r="E7" s="2" t="s">
        <v>386</v>
      </c>
      <c r="F7" s="192"/>
      <c r="G7" s="192"/>
      <c r="H7" s="192"/>
      <c r="I7" s="192"/>
      <c r="J7" s="192"/>
      <c r="K7" s="192"/>
      <c r="L7" s="192"/>
      <c r="M7" s="192"/>
      <c r="N7" s="192"/>
      <c r="O7" s="192"/>
      <c r="P7" s="192"/>
      <c r="Q7" s="192"/>
      <c r="R7" s="192"/>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row>
    <row r="8" spans="1:44" x14ac:dyDescent="0.2">
      <c r="A8" s="168">
        <v>5</v>
      </c>
      <c r="B8" s="189" t="s">
        <v>277</v>
      </c>
      <c r="C8" s="192"/>
      <c r="D8" s="1">
        <v>5</v>
      </c>
      <c r="E8" s="2" t="s">
        <v>387</v>
      </c>
      <c r="F8" s="192"/>
      <c r="G8" s="192"/>
      <c r="H8" s="192"/>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2"/>
      <c r="AH8" s="192"/>
      <c r="AI8" s="192"/>
      <c r="AJ8" s="192"/>
      <c r="AK8" s="192"/>
      <c r="AL8" s="192"/>
      <c r="AM8" s="192"/>
      <c r="AN8" s="192"/>
      <c r="AO8" s="192"/>
      <c r="AP8" s="192"/>
      <c r="AQ8" s="192"/>
      <c r="AR8" s="192"/>
    </row>
    <row r="9" spans="1:44" x14ac:dyDescent="0.2">
      <c r="A9" s="168">
        <v>6</v>
      </c>
      <c r="B9" s="189" t="s">
        <v>278</v>
      </c>
      <c r="C9" s="192"/>
      <c r="D9" s="1">
        <v>6</v>
      </c>
      <c r="E9" s="2" t="s">
        <v>388</v>
      </c>
      <c r="F9" s="192"/>
      <c r="G9" s="192"/>
      <c r="H9" s="192"/>
      <c r="I9" s="192"/>
      <c r="J9" s="192"/>
      <c r="K9" s="192"/>
      <c r="L9" s="192"/>
      <c r="M9" s="192"/>
      <c r="N9" s="192"/>
      <c r="O9" s="192"/>
      <c r="P9" s="192"/>
      <c r="Q9" s="192"/>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row>
    <row r="10" spans="1:44" x14ac:dyDescent="0.2">
      <c r="A10" s="168">
        <v>7</v>
      </c>
      <c r="B10" s="189" t="s">
        <v>279</v>
      </c>
      <c r="C10" s="192"/>
      <c r="D10" s="1">
        <v>7</v>
      </c>
      <c r="E10" s="2" t="s">
        <v>389</v>
      </c>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row>
    <row r="11" spans="1:44" x14ac:dyDescent="0.2">
      <c r="A11" s="168">
        <v>8</v>
      </c>
      <c r="B11" s="189" t="s">
        <v>280</v>
      </c>
      <c r="C11" s="192"/>
      <c r="D11" s="1">
        <v>8</v>
      </c>
      <c r="E11" s="2" t="s">
        <v>390</v>
      </c>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row>
    <row r="12" spans="1:44" x14ac:dyDescent="0.2">
      <c r="A12" s="168">
        <v>9</v>
      </c>
      <c r="B12" s="189" t="s">
        <v>281</v>
      </c>
      <c r="C12" s="192"/>
      <c r="D12" s="1">
        <v>9</v>
      </c>
      <c r="E12" s="2" t="s">
        <v>391</v>
      </c>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row>
    <row r="13" spans="1:44" x14ac:dyDescent="0.2">
      <c r="A13" s="168">
        <v>10</v>
      </c>
      <c r="B13" s="189" t="s">
        <v>282</v>
      </c>
      <c r="C13" s="192"/>
      <c r="D13" s="1">
        <v>10</v>
      </c>
      <c r="E13" s="2" t="s">
        <v>392</v>
      </c>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row>
    <row r="14" spans="1:44" x14ac:dyDescent="0.2">
      <c r="A14" s="168">
        <v>11</v>
      </c>
      <c r="B14" s="189" t="s">
        <v>283</v>
      </c>
      <c r="C14" s="192"/>
      <c r="D14" s="1">
        <v>11</v>
      </c>
      <c r="E14" s="2" t="s">
        <v>393</v>
      </c>
      <c r="F14" s="192"/>
      <c r="G14" s="192"/>
      <c r="H14" s="192"/>
      <c r="I14" s="192"/>
      <c r="J14" s="192"/>
      <c r="K14" s="192"/>
      <c r="L14" s="192"/>
      <c r="M14" s="192"/>
      <c r="N14" s="192"/>
      <c r="O14" s="192"/>
      <c r="P14" s="192"/>
      <c r="Q14" s="192"/>
      <c r="R14" s="192"/>
      <c r="S14" s="192"/>
      <c r="T14" s="192"/>
      <c r="U14" s="192"/>
      <c r="V14" s="192"/>
      <c r="W14" s="192"/>
      <c r="X14" s="192"/>
      <c r="Y14" s="192"/>
      <c r="Z14" s="192"/>
      <c r="AA14" s="192"/>
      <c r="AB14" s="192"/>
      <c r="AC14" s="192"/>
      <c r="AD14" s="192"/>
      <c r="AE14" s="192"/>
      <c r="AF14" s="192"/>
      <c r="AG14" s="192"/>
      <c r="AH14" s="192"/>
      <c r="AI14" s="192"/>
      <c r="AJ14" s="192"/>
      <c r="AK14" s="192"/>
      <c r="AL14" s="192"/>
      <c r="AM14" s="192"/>
      <c r="AN14" s="192"/>
      <c r="AO14" s="192"/>
      <c r="AP14" s="192"/>
      <c r="AQ14" s="192"/>
      <c r="AR14" s="192"/>
    </row>
    <row r="15" spans="1:44" ht="16" thickBot="1" x14ac:dyDescent="0.25">
      <c r="A15" s="168">
        <v>12</v>
      </c>
      <c r="B15" s="189" t="s">
        <v>284</v>
      </c>
      <c r="C15" s="192"/>
      <c r="D15" s="3">
        <v>12</v>
      </c>
      <c r="E15" s="5" t="s">
        <v>394</v>
      </c>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c r="AH15" s="192"/>
      <c r="AI15" s="192"/>
      <c r="AJ15" s="192"/>
      <c r="AK15" s="192"/>
      <c r="AL15" s="192"/>
      <c r="AM15" s="192"/>
      <c r="AN15" s="192"/>
      <c r="AO15" s="192"/>
      <c r="AP15" s="192"/>
      <c r="AQ15" s="192"/>
      <c r="AR15" s="192"/>
    </row>
    <row r="16" spans="1:44" x14ac:dyDescent="0.2">
      <c r="A16" s="168">
        <v>13</v>
      </c>
      <c r="B16" s="189" t="s">
        <v>285</v>
      </c>
      <c r="C16" s="192"/>
      <c r="D16" s="192"/>
      <c r="E16" s="194"/>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F16" s="192"/>
      <c r="AG16" s="192"/>
      <c r="AH16" s="192"/>
      <c r="AI16" s="192"/>
      <c r="AJ16" s="192"/>
      <c r="AK16" s="192"/>
      <c r="AL16" s="192"/>
      <c r="AM16" s="192"/>
      <c r="AN16" s="192"/>
      <c r="AO16" s="192"/>
      <c r="AP16" s="192"/>
      <c r="AQ16" s="192"/>
      <c r="AR16" s="192"/>
    </row>
    <row r="17" spans="1:44" x14ac:dyDescent="0.2">
      <c r="A17" s="168">
        <v>14</v>
      </c>
      <c r="B17" s="189" t="s">
        <v>286</v>
      </c>
      <c r="C17" s="192"/>
      <c r="D17" s="192"/>
      <c r="E17" s="194"/>
      <c r="F17" s="192"/>
      <c r="G17" s="192"/>
      <c r="H17" s="192"/>
      <c r="I17" s="192"/>
      <c r="J17" s="192"/>
      <c r="K17" s="192"/>
      <c r="L17" s="192"/>
      <c r="M17" s="192"/>
      <c r="N17" s="192"/>
      <c r="O17" s="192"/>
      <c r="P17" s="192"/>
      <c r="Q17" s="192"/>
      <c r="R17" s="192"/>
      <c r="S17" s="192"/>
      <c r="T17" s="192"/>
      <c r="U17" s="192"/>
      <c r="V17" s="192"/>
      <c r="W17" s="192"/>
      <c r="X17" s="192"/>
      <c r="Y17" s="192"/>
      <c r="Z17" s="192"/>
      <c r="AA17" s="192"/>
      <c r="AB17" s="192"/>
      <c r="AC17" s="192"/>
      <c r="AD17" s="192"/>
      <c r="AE17" s="192"/>
      <c r="AF17" s="192"/>
      <c r="AG17" s="192"/>
      <c r="AH17" s="192"/>
      <c r="AI17" s="192"/>
      <c r="AJ17" s="192"/>
      <c r="AK17" s="192"/>
      <c r="AL17" s="192"/>
      <c r="AM17" s="192"/>
      <c r="AN17" s="192"/>
      <c r="AO17" s="192"/>
      <c r="AP17" s="192"/>
      <c r="AQ17" s="192"/>
      <c r="AR17" s="192"/>
    </row>
    <row r="18" spans="1:44" x14ac:dyDescent="0.2">
      <c r="A18" s="168">
        <v>15</v>
      </c>
      <c r="B18" s="189" t="s">
        <v>287</v>
      </c>
      <c r="C18" s="192"/>
      <c r="D18" s="192"/>
      <c r="E18" s="194"/>
      <c r="F18" s="192"/>
      <c r="G18" s="192"/>
      <c r="H18" s="192"/>
      <c r="I18" s="192"/>
      <c r="J18" s="192"/>
      <c r="K18" s="192"/>
      <c r="L18" s="192"/>
      <c r="M18" s="192"/>
      <c r="N18" s="192"/>
      <c r="O18" s="192"/>
      <c r="P18" s="192"/>
      <c r="Q18" s="192"/>
      <c r="R18" s="192"/>
      <c r="S18" s="192"/>
      <c r="T18" s="192"/>
      <c r="U18" s="192"/>
      <c r="V18" s="192"/>
      <c r="W18" s="192"/>
      <c r="X18" s="192"/>
      <c r="Y18" s="192"/>
      <c r="Z18" s="192"/>
      <c r="AA18" s="192"/>
      <c r="AB18" s="192"/>
      <c r="AC18" s="192"/>
      <c r="AD18" s="192"/>
      <c r="AE18" s="192"/>
      <c r="AF18" s="192"/>
      <c r="AG18" s="192"/>
      <c r="AH18" s="192"/>
      <c r="AI18" s="192"/>
      <c r="AJ18" s="192"/>
      <c r="AK18" s="192"/>
      <c r="AL18" s="192"/>
      <c r="AM18" s="192"/>
      <c r="AN18" s="192"/>
      <c r="AO18" s="192"/>
      <c r="AP18" s="192"/>
      <c r="AQ18" s="192"/>
      <c r="AR18" s="192"/>
    </row>
    <row r="19" spans="1:44" x14ac:dyDescent="0.2">
      <c r="A19" s="168">
        <v>16</v>
      </c>
      <c r="B19" s="189" t="s">
        <v>288</v>
      </c>
      <c r="C19" s="192"/>
      <c r="D19" s="192"/>
      <c r="E19" s="194"/>
      <c r="F19" s="192"/>
      <c r="G19" s="192"/>
      <c r="H19" s="192"/>
      <c r="I19" s="192"/>
      <c r="J19" s="192"/>
      <c r="K19" s="192"/>
      <c r="L19" s="192"/>
      <c r="M19" s="192"/>
      <c r="N19" s="192"/>
      <c r="O19" s="192"/>
      <c r="P19" s="192"/>
      <c r="Q19" s="192"/>
      <c r="R19" s="192"/>
      <c r="S19" s="192"/>
      <c r="T19" s="192"/>
      <c r="U19" s="192"/>
      <c r="V19" s="192"/>
      <c r="W19" s="192"/>
      <c r="X19" s="192"/>
      <c r="Y19" s="192"/>
      <c r="Z19" s="192"/>
      <c r="AA19" s="192"/>
      <c r="AB19" s="192"/>
      <c r="AC19" s="192"/>
      <c r="AD19" s="192"/>
      <c r="AE19" s="192"/>
      <c r="AF19" s="192"/>
      <c r="AG19" s="192"/>
      <c r="AH19" s="192"/>
      <c r="AI19" s="192"/>
      <c r="AJ19" s="192"/>
      <c r="AK19" s="192"/>
      <c r="AL19" s="192"/>
      <c r="AM19" s="192"/>
      <c r="AN19" s="192"/>
      <c r="AO19" s="192"/>
      <c r="AP19" s="192"/>
      <c r="AQ19" s="192"/>
      <c r="AR19" s="192"/>
    </row>
    <row r="20" spans="1:44" x14ac:dyDescent="0.2">
      <c r="A20" s="168">
        <v>17</v>
      </c>
      <c r="B20" s="189" t="s">
        <v>289</v>
      </c>
      <c r="C20" s="192"/>
      <c r="D20" s="192"/>
      <c r="E20" s="194"/>
      <c r="F20" s="192"/>
      <c r="G20" s="192"/>
      <c r="H20" s="192"/>
      <c r="I20" s="192"/>
      <c r="J20" s="192"/>
      <c r="K20" s="192"/>
      <c r="L20" s="192"/>
      <c r="M20" s="192"/>
      <c r="N20" s="192"/>
      <c r="O20" s="192"/>
      <c r="P20" s="192"/>
      <c r="Q20" s="192"/>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row>
    <row r="21" spans="1:44" x14ac:dyDescent="0.2">
      <c r="A21" s="168">
        <v>18</v>
      </c>
      <c r="B21" s="189" t="s">
        <v>290</v>
      </c>
      <c r="C21" s="192"/>
      <c r="D21" s="192"/>
      <c r="E21" s="194"/>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c r="AR21" s="192"/>
    </row>
    <row r="22" spans="1:44" x14ac:dyDescent="0.2">
      <c r="A22" s="168">
        <v>19</v>
      </c>
      <c r="B22" s="189" t="s">
        <v>291</v>
      </c>
      <c r="C22" s="192"/>
      <c r="D22" s="192"/>
      <c r="E22" s="194"/>
      <c r="F22" s="192"/>
      <c r="G22" s="192"/>
      <c r="H22" s="192"/>
      <c r="I22" s="192"/>
      <c r="J22" s="192"/>
      <c r="K22" s="192"/>
      <c r="L22" s="192"/>
      <c r="M22" s="192"/>
      <c r="N22" s="192"/>
      <c r="O22" s="192"/>
      <c r="P22" s="192"/>
      <c r="Q22" s="192"/>
      <c r="R22" s="192"/>
      <c r="S22" s="192"/>
      <c r="T22" s="192"/>
      <c r="U22" s="192"/>
      <c r="V22" s="192"/>
      <c r="W22" s="192"/>
      <c r="X22" s="192"/>
      <c r="Y22" s="192"/>
      <c r="Z22" s="192"/>
      <c r="AA22" s="192"/>
      <c r="AB22" s="192"/>
      <c r="AC22" s="192"/>
      <c r="AD22" s="192"/>
      <c r="AE22" s="192"/>
      <c r="AF22" s="192"/>
      <c r="AG22" s="192"/>
      <c r="AH22" s="192"/>
      <c r="AI22" s="192"/>
      <c r="AJ22" s="192"/>
      <c r="AK22" s="192"/>
      <c r="AL22" s="192"/>
      <c r="AM22" s="192"/>
      <c r="AN22" s="192"/>
      <c r="AO22" s="192"/>
      <c r="AP22" s="192"/>
      <c r="AQ22" s="192"/>
      <c r="AR22" s="192"/>
    </row>
    <row r="23" spans="1:44" x14ac:dyDescent="0.2">
      <c r="A23" s="168">
        <v>20</v>
      </c>
      <c r="B23" s="189" t="s">
        <v>292</v>
      </c>
      <c r="C23" s="192"/>
      <c r="D23" s="192"/>
      <c r="E23" s="194"/>
      <c r="F23" s="192"/>
      <c r="G23" s="192"/>
      <c r="H23" s="192"/>
      <c r="I23" s="192"/>
      <c r="J23" s="192"/>
      <c r="K23" s="192"/>
      <c r="L23" s="192"/>
      <c r="M23" s="192"/>
      <c r="N23" s="192"/>
      <c r="O23" s="192"/>
      <c r="P23" s="192"/>
      <c r="Q23" s="192"/>
      <c r="R23" s="192"/>
      <c r="S23" s="192"/>
      <c r="T23" s="192"/>
      <c r="U23" s="192"/>
      <c r="V23" s="192"/>
      <c r="W23" s="192"/>
      <c r="X23" s="192"/>
      <c r="Y23" s="192"/>
      <c r="Z23" s="192"/>
      <c r="AA23" s="192"/>
      <c r="AB23" s="192"/>
      <c r="AC23" s="192"/>
      <c r="AD23" s="192"/>
      <c r="AE23" s="192"/>
      <c r="AF23" s="192"/>
      <c r="AG23" s="192"/>
      <c r="AH23" s="192"/>
      <c r="AI23" s="192"/>
      <c r="AJ23" s="192"/>
      <c r="AK23" s="192"/>
      <c r="AL23" s="192"/>
      <c r="AM23" s="192"/>
      <c r="AN23" s="192"/>
      <c r="AO23" s="192"/>
      <c r="AP23" s="192"/>
      <c r="AQ23" s="192"/>
      <c r="AR23" s="192"/>
    </row>
    <row r="24" spans="1:44" x14ac:dyDescent="0.2">
      <c r="A24" s="168">
        <v>21</v>
      </c>
      <c r="B24" s="189" t="s">
        <v>293</v>
      </c>
      <c r="C24" s="192"/>
      <c r="D24" s="192"/>
      <c r="E24" s="194"/>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92"/>
      <c r="AG24" s="192"/>
      <c r="AH24" s="192"/>
      <c r="AI24" s="192"/>
      <c r="AJ24" s="192"/>
      <c r="AK24" s="192"/>
      <c r="AL24" s="192"/>
      <c r="AM24" s="192"/>
      <c r="AN24" s="192"/>
      <c r="AO24" s="192"/>
      <c r="AP24" s="192"/>
      <c r="AQ24" s="192"/>
      <c r="AR24" s="192"/>
    </row>
    <row r="25" spans="1:44" x14ac:dyDescent="0.2">
      <c r="A25" s="168">
        <v>22</v>
      </c>
      <c r="B25" s="189" t="s">
        <v>294</v>
      </c>
      <c r="C25" s="192"/>
      <c r="D25" s="192"/>
      <c r="E25" s="194"/>
      <c r="F25" s="192"/>
      <c r="G25" s="192"/>
      <c r="H25" s="192"/>
      <c r="I25" s="192"/>
      <c r="J25" s="192"/>
      <c r="K25" s="192"/>
      <c r="L25" s="192"/>
      <c r="M25" s="192"/>
      <c r="N25" s="192"/>
      <c r="O25" s="192"/>
      <c r="P25" s="192"/>
      <c r="Q25" s="192"/>
      <c r="R25" s="192"/>
      <c r="S25" s="192"/>
      <c r="T25" s="192"/>
      <c r="U25" s="192"/>
      <c r="V25" s="192"/>
      <c r="W25" s="192"/>
      <c r="X25" s="192"/>
      <c r="Y25" s="192"/>
      <c r="Z25" s="192"/>
      <c r="AA25" s="192"/>
      <c r="AB25" s="192"/>
      <c r="AC25" s="192"/>
      <c r="AD25" s="192"/>
      <c r="AE25" s="192"/>
      <c r="AF25" s="192"/>
      <c r="AG25" s="192"/>
      <c r="AH25" s="192"/>
      <c r="AI25" s="192"/>
      <c r="AJ25" s="192"/>
      <c r="AK25" s="192"/>
      <c r="AL25" s="192"/>
      <c r="AM25" s="192"/>
      <c r="AN25" s="192"/>
      <c r="AO25" s="192"/>
      <c r="AP25" s="192"/>
      <c r="AQ25" s="192"/>
      <c r="AR25" s="192"/>
    </row>
    <row r="26" spans="1:44" x14ac:dyDescent="0.2">
      <c r="A26" s="168">
        <v>23</v>
      </c>
      <c r="B26" s="189" t="s">
        <v>295</v>
      </c>
      <c r="C26" s="192"/>
      <c r="D26" s="192"/>
      <c r="E26" s="194"/>
      <c r="F26" s="192"/>
      <c r="G26" s="192"/>
      <c r="H26" s="192"/>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c r="AH26" s="192"/>
      <c r="AI26" s="192"/>
      <c r="AJ26" s="192"/>
      <c r="AK26" s="192"/>
      <c r="AL26" s="192"/>
      <c r="AM26" s="192"/>
      <c r="AN26" s="192"/>
      <c r="AO26" s="192"/>
      <c r="AP26" s="192"/>
      <c r="AQ26" s="192"/>
      <c r="AR26" s="192"/>
    </row>
    <row r="27" spans="1:44" x14ac:dyDescent="0.2">
      <c r="A27" s="168">
        <v>24</v>
      </c>
      <c r="B27" s="189" t="s">
        <v>296</v>
      </c>
      <c r="C27" s="192"/>
      <c r="D27" s="192"/>
      <c r="E27" s="194"/>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2"/>
      <c r="AE27" s="192"/>
      <c r="AF27" s="192"/>
      <c r="AG27" s="192"/>
      <c r="AH27" s="192"/>
      <c r="AI27" s="192"/>
      <c r="AJ27" s="192"/>
      <c r="AK27" s="192"/>
      <c r="AL27" s="192"/>
      <c r="AM27" s="192"/>
      <c r="AN27" s="192"/>
      <c r="AO27" s="192"/>
      <c r="AP27" s="192"/>
      <c r="AQ27" s="192"/>
      <c r="AR27" s="192"/>
    </row>
    <row r="28" spans="1:44" x14ac:dyDescent="0.2">
      <c r="A28" s="168">
        <v>25</v>
      </c>
      <c r="B28" s="189" t="s">
        <v>297</v>
      </c>
      <c r="C28" s="192"/>
      <c r="D28" s="192"/>
      <c r="E28" s="194"/>
      <c r="F28" s="192"/>
      <c r="G28" s="192"/>
      <c r="H28" s="192"/>
      <c r="I28" s="192"/>
      <c r="J28" s="192"/>
      <c r="K28" s="192"/>
      <c r="L28" s="192"/>
      <c r="M28" s="192"/>
      <c r="N28" s="192"/>
      <c r="O28" s="192"/>
      <c r="P28" s="192"/>
      <c r="Q28" s="192"/>
      <c r="R28" s="192"/>
      <c r="S28" s="192"/>
      <c r="T28" s="192"/>
      <c r="U28" s="192"/>
      <c r="V28" s="192"/>
      <c r="W28" s="192"/>
      <c r="X28" s="192"/>
      <c r="Y28" s="192"/>
      <c r="Z28" s="192"/>
      <c r="AA28" s="192"/>
      <c r="AB28" s="192"/>
      <c r="AC28" s="192"/>
      <c r="AD28" s="192"/>
      <c r="AE28" s="192"/>
      <c r="AF28" s="192"/>
      <c r="AG28" s="192"/>
      <c r="AH28" s="192"/>
      <c r="AI28" s="192"/>
      <c r="AJ28" s="192"/>
      <c r="AK28" s="192"/>
      <c r="AL28" s="192"/>
      <c r="AM28" s="192"/>
      <c r="AN28" s="192"/>
      <c r="AO28" s="192"/>
      <c r="AP28" s="192"/>
      <c r="AQ28" s="192"/>
      <c r="AR28" s="192"/>
    </row>
    <row r="29" spans="1:44" x14ac:dyDescent="0.2">
      <c r="A29" s="168">
        <v>26</v>
      </c>
      <c r="B29" s="189" t="s">
        <v>298</v>
      </c>
      <c r="C29" s="192"/>
      <c r="D29" s="192"/>
      <c r="E29" s="194"/>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c r="AK29" s="192"/>
      <c r="AL29" s="192"/>
      <c r="AM29" s="192"/>
      <c r="AN29" s="192"/>
      <c r="AO29" s="192"/>
      <c r="AP29" s="192"/>
      <c r="AQ29" s="192"/>
      <c r="AR29" s="192"/>
    </row>
    <row r="30" spans="1:44" x14ac:dyDescent="0.2">
      <c r="A30" s="168">
        <v>27</v>
      </c>
      <c r="B30" s="189" t="s">
        <v>299</v>
      </c>
      <c r="C30" s="192"/>
      <c r="D30" s="192"/>
      <c r="E30" s="194"/>
      <c r="F30" s="192"/>
      <c r="G30" s="192"/>
      <c r="H30" s="192"/>
      <c r="I30" s="192"/>
      <c r="J30" s="192"/>
      <c r="K30" s="192"/>
      <c r="L30" s="192"/>
      <c r="M30" s="192"/>
      <c r="N30" s="192"/>
      <c r="O30" s="192"/>
      <c r="P30" s="192"/>
      <c r="Q30" s="192"/>
      <c r="R30" s="192"/>
      <c r="S30" s="192"/>
      <c r="T30" s="192"/>
      <c r="U30" s="192"/>
      <c r="V30" s="192"/>
      <c r="W30" s="192"/>
      <c r="X30" s="192"/>
      <c r="Y30" s="192"/>
      <c r="Z30" s="192"/>
      <c r="AA30" s="192"/>
      <c r="AB30" s="192"/>
      <c r="AC30" s="192"/>
      <c r="AD30" s="192"/>
      <c r="AE30" s="192"/>
      <c r="AF30" s="192"/>
      <c r="AG30" s="192"/>
      <c r="AH30" s="192"/>
      <c r="AI30" s="192"/>
      <c r="AJ30" s="192"/>
      <c r="AK30" s="192"/>
      <c r="AL30" s="192"/>
      <c r="AM30" s="192"/>
      <c r="AN30" s="192"/>
      <c r="AO30" s="192"/>
      <c r="AP30" s="192"/>
      <c r="AQ30" s="192"/>
      <c r="AR30" s="192"/>
    </row>
    <row r="31" spans="1:44" x14ac:dyDescent="0.2">
      <c r="A31" s="168">
        <v>28</v>
      </c>
      <c r="B31" s="189" t="s">
        <v>300</v>
      </c>
      <c r="C31" s="192"/>
      <c r="D31" s="192"/>
      <c r="E31" s="194"/>
      <c r="F31" s="192"/>
      <c r="G31" s="192"/>
      <c r="H31" s="192"/>
      <c r="I31" s="192"/>
      <c r="J31" s="192"/>
      <c r="K31" s="192"/>
      <c r="L31" s="192"/>
      <c r="M31" s="192"/>
      <c r="N31" s="192"/>
      <c r="O31" s="192"/>
      <c r="P31" s="192"/>
      <c r="Q31" s="192"/>
      <c r="R31" s="192"/>
      <c r="S31" s="192"/>
      <c r="T31" s="192"/>
      <c r="U31" s="192"/>
      <c r="V31" s="192"/>
      <c r="W31" s="192"/>
      <c r="X31" s="192"/>
      <c r="Y31" s="192"/>
      <c r="Z31" s="192"/>
      <c r="AA31" s="192"/>
      <c r="AB31" s="192"/>
      <c r="AC31" s="192"/>
      <c r="AD31" s="192"/>
      <c r="AE31" s="192"/>
      <c r="AF31" s="192"/>
      <c r="AG31" s="192"/>
      <c r="AH31" s="192"/>
      <c r="AI31" s="192"/>
      <c r="AJ31" s="192"/>
      <c r="AK31" s="192"/>
      <c r="AL31" s="192"/>
      <c r="AM31" s="192"/>
      <c r="AN31" s="192"/>
      <c r="AO31" s="192"/>
      <c r="AP31" s="192"/>
      <c r="AQ31" s="192"/>
      <c r="AR31" s="192"/>
    </row>
    <row r="32" spans="1:44" x14ac:dyDescent="0.2">
      <c r="A32" s="168">
        <v>29</v>
      </c>
      <c r="B32" s="189" t="s">
        <v>301</v>
      </c>
      <c r="C32" s="192"/>
      <c r="D32" s="192"/>
      <c r="E32" s="194"/>
      <c r="F32" s="192"/>
      <c r="G32" s="192"/>
      <c r="H32" s="192"/>
      <c r="I32" s="192"/>
      <c r="J32" s="192"/>
      <c r="K32" s="192"/>
      <c r="L32" s="192"/>
      <c r="M32" s="192"/>
      <c r="N32" s="192"/>
      <c r="O32" s="192"/>
      <c r="P32" s="192"/>
      <c r="Q32" s="192"/>
      <c r="R32" s="192"/>
      <c r="S32" s="192"/>
      <c r="T32" s="192"/>
      <c r="U32" s="192"/>
      <c r="V32" s="192"/>
      <c r="W32" s="192"/>
      <c r="X32" s="192"/>
      <c r="Y32" s="192"/>
      <c r="Z32" s="192"/>
      <c r="AA32" s="192"/>
      <c r="AB32" s="192"/>
      <c r="AC32" s="192"/>
      <c r="AD32" s="192"/>
      <c r="AE32" s="192"/>
      <c r="AF32" s="192"/>
      <c r="AG32" s="192"/>
      <c r="AH32" s="192"/>
      <c r="AI32" s="192"/>
      <c r="AJ32" s="192"/>
      <c r="AK32" s="192"/>
      <c r="AL32" s="192"/>
      <c r="AM32" s="192"/>
      <c r="AN32" s="192"/>
      <c r="AO32" s="192"/>
      <c r="AP32" s="192"/>
      <c r="AQ32" s="192"/>
      <c r="AR32" s="192"/>
    </row>
    <row r="33" spans="1:44" x14ac:dyDescent="0.2">
      <c r="A33" s="168">
        <v>30</v>
      </c>
      <c r="B33" s="189" t="s">
        <v>302</v>
      </c>
      <c r="C33" s="192"/>
      <c r="D33" s="192"/>
      <c r="E33" s="194"/>
      <c r="F33" s="192"/>
      <c r="G33" s="192"/>
      <c r="H33" s="192"/>
      <c r="I33" s="192"/>
      <c r="J33" s="192"/>
      <c r="K33" s="192"/>
      <c r="L33" s="192"/>
      <c r="M33" s="192"/>
      <c r="N33" s="192"/>
      <c r="O33" s="192"/>
      <c r="P33" s="192"/>
      <c r="Q33" s="192"/>
      <c r="R33" s="192"/>
      <c r="S33" s="192"/>
      <c r="T33" s="192"/>
      <c r="U33" s="192"/>
      <c r="V33" s="192"/>
      <c r="W33" s="192"/>
      <c r="X33" s="192"/>
      <c r="Y33" s="192"/>
      <c r="Z33" s="192"/>
      <c r="AA33" s="192"/>
      <c r="AB33" s="192"/>
      <c r="AC33" s="192"/>
      <c r="AD33" s="192"/>
      <c r="AE33" s="192"/>
      <c r="AF33" s="192"/>
      <c r="AG33" s="192"/>
      <c r="AH33" s="192"/>
      <c r="AI33" s="192"/>
      <c r="AJ33" s="192"/>
      <c r="AK33" s="192"/>
      <c r="AL33" s="192"/>
      <c r="AM33" s="192"/>
      <c r="AN33" s="192"/>
      <c r="AO33" s="192"/>
      <c r="AP33" s="192"/>
      <c r="AQ33" s="192"/>
      <c r="AR33" s="192"/>
    </row>
    <row r="34" spans="1:44" x14ac:dyDescent="0.2">
      <c r="A34" s="168">
        <v>31</v>
      </c>
      <c r="B34" s="189" t="s">
        <v>303</v>
      </c>
      <c r="C34" s="192"/>
      <c r="D34" s="192"/>
      <c r="E34" s="194"/>
      <c r="F34" s="192"/>
      <c r="G34" s="192"/>
      <c r="H34" s="192"/>
      <c r="I34" s="192"/>
      <c r="J34" s="192"/>
      <c r="K34" s="192"/>
      <c r="L34" s="192"/>
      <c r="M34" s="192"/>
      <c r="N34" s="192"/>
      <c r="O34" s="192"/>
      <c r="P34" s="192"/>
      <c r="Q34" s="192"/>
      <c r="R34" s="192"/>
      <c r="S34" s="192"/>
      <c r="T34" s="192"/>
      <c r="U34" s="192"/>
      <c r="V34" s="192"/>
      <c r="W34" s="192"/>
      <c r="X34" s="192"/>
      <c r="Y34" s="192"/>
      <c r="Z34" s="192"/>
      <c r="AA34" s="192"/>
      <c r="AB34" s="192"/>
      <c r="AC34" s="192"/>
      <c r="AD34" s="192"/>
      <c r="AE34" s="192"/>
      <c r="AF34" s="192"/>
      <c r="AG34" s="192"/>
      <c r="AH34" s="192"/>
      <c r="AI34" s="192"/>
      <c r="AJ34" s="192"/>
      <c r="AK34" s="192"/>
      <c r="AL34" s="192"/>
      <c r="AM34" s="192"/>
      <c r="AN34" s="192"/>
      <c r="AO34" s="192"/>
      <c r="AP34" s="192"/>
      <c r="AQ34" s="192"/>
      <c r="AR34" s="192"/>
    </row>
    <row r="35" spans="1:44" x14ac:dyDescent="0.2">
      <c r="A35" s="168">
        <v>32</v>
      </c>
      <c r="B35" s="189" t="s">
        <v>304</v>
      </c>
      <c r="C35" s="192"/>
      <c r="D35" s="192"/>
      <c r="E35" s="194"/>
      <c r="F35" s="192"/>
      <c r="G35" s="192"/>
      <c r="H35" s="192"/>
      <c r="I35" s="192"/>
      <c r="J35" s="192"/>
      <c r="K35" s="192"/>
      <c r="L35" s="192"/>
      <c r="M35" s="192"/>
      <c r="N35" s="192"/>
      <c r="O35" s="192"/>
      <c r="P35" s="192"/>
      <c r="Q35" s="192"/>
      <c r="R35" s="192"/>
      <c r="S35" s="192"/>
      <c r="T35" s="192"/>
      <c r="U35" s="192"/>
      <c r="V35" s="192"/>
      <c r="W35" s="192"/>
      <c r="X35" s="192"/>
      <c r="Y35" s="192"/>
      <c r="Z35" s="192"/>
      <c r="AA35" s="192"/>
      <c r="AB35" s="192"/>
      <c r="AC35" s="192"/>
      <c r="AD35" s="192"/>
      <c r="AE35" s="192"/>
      <c r="AF35" s="192"/>
      <c r="AG35" s="192"/>
      <c r="AH35" s="192"/>
      <c r="AI35" s="192"/>
      <c r="AJ35" s="192"/>
      <c r="AK35" s="192"/>
      <c r="AL35" s="192"/>
      <c r="AM35" s="192"/>
      <c r="AN35" s="192"/>
      <c r="AO35" s="192"/>
      <c r="AP35" s="192"/>
      <c r="AQ35" s="192"/>
      <c r="AR35" s="192"/>
    </row>
    <row r="36" spans="1:44" x14ac:dyDescent="0.2">
      <c r="A36" s="168">
        <v>33</v>
      </c>
      <c r="B36" s="189" t="s">
        <v>305</v>
      </c>
      <c r="C36" s="192"/>
      <c r="D36" s="192"/>
      <c r="E36" s="194"/>
      <c r="F36" s="192"/>
      <c r="G36" s="192"/>
      <c r="H36" s="192"/>
      <c r="I36" s="192"/>
      <c r="J36" s="192"/>
      <c r="K36" s="192"/>
      <c r="L36" s="192"/>
      <c r="M36" s="192"/>
      <c r="N36" s="192"/>
      <c r="O36" s="192"/>
      <c r="P36" s="192"/>
      <c r="Q36" s="192"/>
      <c r="R36" s="192"/>
      <c r="S36" s="192"/>
      <c r="T36" s="192"/>
      <c r="U36" s="192"/>
      <c r="V36" s="192"/>
      <c r="W36" s="192"/>
      <c r="X36" s="192"/>
      <c r="Y36" s="192"/>
      <c r="Z36" s="192"/>
      <c r="AA36" s="192"/>
      <c r="AB36" s="192"/>
      <c r="AC36" s="192"/>
      <c r="AD36" s="192"/>
      <c r="AE36" s="192"/>
      <c r="AF36" s="192"/>
      <c r="AG36" s="192"/>
      <c r="AH36" s="192"/>
      <c r="AI36" s="192"/>
      <c r="AJ36" s="192"/>
      <c r="AK36" s="192"/>
      <c r="AL36" s="192"/>
      <c r="AM36" s="192"/>
      <c r="AN36" s="192"/>
      <c r="AO36" s="192"/>
      <c r="AP36" s="192"/>
      <c r="AQ36" s="192"/>
      <c r="AR36" s="192"/>
    </row>
    <row r="37" spans="1:44" x14ac:dyDescent="0.2">
      <c r="A37" s="168">
        <v>34</v>
      </c>
      <c r="B37" s="189" t="s">
        <v>306</v>
      </c>
      <c r="C37" s="192"/>
      <c r="D37" s="192"/>
      <c r="E37" s="194"/>
      <c r="F37" s="192"/>
      <c r="G37" s="192"/>
      <c r="H37" s="192"/>
      <c r="I37" s="192"/>
      <c r="J37" s="192"/>
      <c r="K37" s="192"/>
      <c r="L37" s="192"/>
      <c r="M37" s="192"/>
      <c r="N37" s="192"/>
      <c r="O37" s="192"/>
      <c r="P37" s="192"/>
      <c r="Q37" s="192"/>
      <c r="R37" s="192"/>
      <c r="S37" s="192"/>
      <c r="T37" s="192"/>
      <c r="U37" s="192"/>
      <c r="V37" s="192"/>
      <c r="W37" s="192"/>
      <c r="X37" s="192"/>
      <c r="Y37" s="192"/>
      <c r="Z37" s="192"/>
      <c r="AA37" s="192"/>
      <c r="AB37" s="192"/>
      <c r="AC37" s="192"/>
      <c r="AD37" s="192"/>
      <c r="AE37" s="192"/>
      <c r="AF37" s="192"/>
      <c r="AG37" s="192"/>
      <c r="AH37" s="192"/>
      <c r="AI37" s="192"/>
      <c r="AJ37" s="192"/>
      <c r="AK37" s="192"/>
      <c r="AL37" s="192"/>
      <c r="AM37" s="192"/>
      <c r="AN37" s="192"/>
      <c r="AO37" s="192"/>
      <c r="AP37" s="192"/>
      <c r="AQ37" s="192"/>
      <c r="AR37" s="192"/>
    </row>
    <row r="38" spans="1:44" x14ac:dyDescent="0.2">
      <c r="A38" s="168">
        <v>35</v>
      </c>
      <c r="B38" s="189" t="s">
        <v>307</v>
      </c>
      <c r="C38" s="192"/>
      <c r="D38" s="192"/>
      <c r="E38" s="194"/>
      <c r="F38" s="192"/>
      <c r="G38" s="192"/>
      <c r="H38" s="192"/>
      <c r="I38" s="192"/>
      <c r="J38" s="192"/>
      <c r="K38" s="192"/>
      <c r="L38" s="192"/>
      <c r="M38" s="192"/>
      <c r="N38" s="192"/>
      <c r="O38" s="192"/>
      <c r="P38" s="192"/>
      <c r="Q38" s="192"/>
      <c r="R38" s="192"/>
      <c r="S38" s="192"/>
      <c r="T38" s="192"/>
      <c r="U38" s="192"/>
      <c r="V38" s="192"/>
      <c r="W38" s="192"/>
      <c r="X38" s="192"/>
      <c r="Y38" s="192"/>
      <c r="Z38" s="192"/>
      <c r="AA38" s="192"/>
      <c r="AB38" s="192"/>
      <c r="AC38" s="192"/>
      <c r="AD38" s="192"/>
      <c r="AE38" s="192"/>
      <c r="AF38" s="192"/>
      <c r="AG38" s="192"/>
      <c r="AH38" s="192"/>
      <c r="AI38" s="192"/>
      <c r="AJ38" s="192"/>
      <c r="AK38" s="192"/>
      <c r="AL38" s="192"/>
      <c r="AM38" s="192"/>
      <c r="AN38" s="192"/>
      <c r="AO38" s="192"/>
      <c r="AP38" s="192"/>
      <c r="AQ38" s="192"/>
      <c r="AR38" s="192"/>
    </row>
    <row r="39" spans="1:44" x14ac:dyDescent="0.2">
      <c r="A39" s="168">
        <v>36</v>
      </c>
      <c r="B39" s="189" t="s">
        <v>308</v>
      </c>
      <c r="C39" s="192"/>
      <c r="D39" s="192"/>
      <c r="E39" s="194"/>
      <c r="F39" s="192"/>
      <c r="G39" s="192"/>
      <c r="H39" s="192"/>
      <c r="I39" s="192"/>
      <c r="J39" s="192"/>
      <c r="K39" s="192"/>
      <c r="L39" s="192"/>
      <c r="M39" s="192"/>
      <c r="N39" s="192"/>
      <c r="O39" s="192"/>
      <c r="P39" s="192"/>
      <c r="Q39" s="192"/>
      <c r="R39" s="192"/>
      <c r="S39" s="192"/>
      <c r="T39" s="192"/>
      <c r="U39" s="192"/>
      <c r="V39" s="192"/>
      <c r="W39" s="192"/>
      <c r="X39" s="192"/>
      <c r="Y39" s="192"/>
      <c r="Z39" s="192"/>
      <c r="AA39" s="192"/>
      <c r="AB39" s="192"/>
      <c r="AC39" s="192"/>
      <c r="AD39" s="192"/>
      <c r="AE39" s="192"/>
      <c r="AF39" s="192"/>
      <c r="AG39" s="192"/>
      <c r="AH39" s="192"/>
      <c r="AI39" s="192"/>
      <c r="AJ39" s="192"/>
      <c r="AK39" s="192"/>
      <c r="AL39" s="192"/>
      <c r="AM39" s="192"/>
      <c r="AN39" s="192"/>
      <c r="AO39" s="192"/>
      <c r="AP39" s="192"/>
      <c r="AQ39" s="192"/>
      <c r="AR39" s="192"/>
    </row>
    <row r="40" spans="1:44" x14ac:dyDescent="0.2">
      <c r="A40" s="168">
        <v>37</v>
      </c>
      <c r="B40" s="189" t="s">
        <v>309</v>
      </c>
      <c r="C40" s="192"/>
      <c r="D40" s="192"/>
      <c r="E40" s="194"/>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c r="AK40" s="192"/>
      <c r="AL40" s="192"/>
      <c r="AM40" s="192"/>
      <c r="AN40" s="192"/>
      <c r="AO40" s="192"/>
      <c r="AP40" s="192"/>
      <c r="AQ40" s="192"/>
      <c r="AR40" s="192"/>
    </row>
    <row r="41" spans="1:44" x14ac:dyDescent="0.2">
      <c r="A41" s="168">
        <v>38</v>
      </c>
      <c r="B41" s="189" t="s">
        <v>310</v>
      </c>
      <c r="C41" s="192"/>
      <c r="D41" s="192"/>
      <c r="E41" s="194"/>
      <c r="F41" s="192"/>
      <c r="G41" s="192"/>
      <c r="H41" s="192"/>
      <c r="I41" s="192"/>
      <c r="J41" s="192"/>
      <c r="K41" s="192"/>
      <c r="L41" s="192"/>
      <c r="M41" s="192"/>
      <c r="N41" s="192"/>
      <c r="O41" s="192"/>
      <c r="P41" s="192"/>
      <c r="Q41" s="192"/>
      <c r="R41" s="192"/>
      <c r="S41" s="192"/>
      <c r="T41" s="192"/>
      <c r="U41" s="192"/>
      <c r="V41" s="192"/>
      <c r="W41" s="192"/>
      <c r="X41" s="192"/>
      <c r="Y41" s="192"/>
      <c r="Z41" s="192"/>
      <c r="AA41" s="192"/>
      <c r="AB41" s="192"/>
      <c r="AC41" s="192"/>
      <c r="AD41" s="192"/>
      <c r="AE41" s="192"/>
      <c r="AF41" s="192"/>
      <c r="AG41" s="192"/>
      <c r="AH41" s="192"/>
      <c r="AI41" s="192"/>
      <c r="AJ41" s="192"/>
      <c r="AK41" s="192"/>
      <c r="AL41" s="192"/>
      <c r="AM41" s="192"/>
      <c r="AN41" s="192"/>
      <c r="AO41" s="192"/>
      <c r="AP41" s="192"/>
      <c r="AQ41" s="192"/>
      <c r="AR41" s="192"/>
    </row>
    <row r="42" spans="1:44" x14ac:dyDescent="0.2">
      <c r="A42" s="168">
        <v>39</v>
      </c>
      <c r="B42" s="189" t="s">
        <v>311</v>
      </c>
      <c r="C42" s="192"/>
      <c r="D42" s="192"/>
      <c r="E42" s="194"/>
      <c r="F42" s="192"/>
      <c r="G42" s="192"/>
      <c r="H42" s="192"/>
      <c r="I42" s="192"/>
      <c r="J42" s="192"/>
      <c r="K42" s="192"/>
      <c r="L42" s="192"/>
      <c r="M42" s="192"/>
      <c r="N42" s="192"/>
      <c r="O42" s="192"/>
      <c r="P42" s="192"/>
      <c r="Q42" s="192"/>
      <c r="R42" s="192"/>
      <c r="S42" s="192"/>
      <c r="T42" s="192"/>
      <c r="U42" s="192"/>
      <c r="V42" s="192"/>
      <c r="W42" s="192"/>
      <c r="X42" s="192"/>
      <c r="Y42" s="192"/>
      <c r="Z42" s="192"/>
      <c r="AA42" s="192"/>
      <c r="AB42" s="192"/>
      <c r="AC42" s="192"/>
      <c r="AD42" s="192"/>
      <c r="AE42" s="192"/>
      <c r="AF42" s="192"/>
      <c r="AG42" s="192"/>
      <c r="AH42" s="192"/>
      <c r="AI42" s="192"/>
      <c r="AJ42" s="192"/>
      <c r="AK42" s="192"/>
      <c r="AL42" s="192"/>
      <c r="AM42" s="192"/>
      <c r="AN42" s="192"/>
      <c r="AO42" s="192"/>
      <c r="AP42" s="192"/>
      <c r="AQ42" s="192"/>
      <c r="AR42" s="192"/>
    </row>
    <row r="43" spans="1:44" x14ac:dyDescent="0.2">
      <c r="A43" s="168">
        <v>40</v>
      </c>
      <c r="B43" s="189" t="s">
        <v>312</v>
      </c>
      <c r="C43" s="192"/>
      <c r="D43" s="192"/>
      <c r="E43" s="194"/>
      <c r="F43" s="192"/>
      <c r="G43" s="192"/>
      <c r="H43" s="192"/>
      <c r="I43" s="192"/>
      <c r="J43" s="192"/>
      <c r="K43" s="192"/>
      <c r="L43" s="192"/>
      <c r="M43" s="192"/>
      <c r="N43" s="192"/>
      <c r="O43" s="192"/>
      <c r="P43" s="192"/>
      <c r="Q43" s="192"/>
      <c r="R43" s="192"/>
      <c r="S43" s="192"/>
      <c r="T43" s="192"/>
      <c r="U43" s="192"/>
      <c r="V43" s="192"/>
      <c r="W43" s="192"/>
      <c r="X43" s="192"/>
      <c r="Y43" s="192"/>
      <c r="Z43" s="192"/>
      <c r="AA43" s="192"/>
      <c r="AB43" s="192"/>
      <c r="AC43" s="192"/>
      <c r="AD43" s="192"/>
      <c r="AE43" s="192"/>
      <c r="AF43" s="192"/>
      <c r="AG43" s="192"/>
      <c r="AH43" s="192"/>
      <c r="AI43" s="192"/>
      <c r="AJ43" s="192"/>
      <c r="AK43" s="192"/>
      <c r="AL43" s="192"/>
      <c r="AM43" s="192"/>
      <c r="AN43" s="192"/>
      <c r="AO43" s="192"/>
      <c r="AP43" s="192"/>
      <c r="AQ43" s="192"/>
      <c r="AR43" s="192"/>
    </row>
    <row r="44" spans="1:44" x14ac:dyDescent="0.2">
      <c r="A44" s="168">
        <v>41</v>
      </c>
      <c r="B44" s="189" t="s">
        <v>313</v>
      </c>
      <c r="C44" s="192"/>
      <c r="D44" s="192"/>
      <c r="E44" s="194"/>
      <c r="F44" s="192"/>
      <c r="G44" s="192"/>
      <c r="H44" s="192"/>
      <c r="I44" s="192"/>
      <c r="J44" s="192"/>
      <c r="K44" s="192"/>
      <c r="L44" s="192"/>
      <c r="M44" s="192"/>
      <c r="N44" s="192"/>
      <c r="O44" s="192"/>
      <c r="P44" s="192"/>
      <c r="Q44" s="192"/>
      <c r="R44" s="192"/>
      <c r="S44" s="192"/>
      <c r="T44" s="192"/>
      <c r="U44" s="192"/>
      <c r="V44" s="192"/>
      <c r="W44" s="192"/>
      <c r="X44" s="192"/>
      <c r="Y44" s="192"/>
      <c r="Z44" s="192"/>
      <c r="AA44" s="192"/>
      <c r="AB44" s="192"/>
      <c r="AC44" s="192"/>
      <c r="AD44" s="192"/>
      <c r="AE44" s="192"/>
      <c r="AF44" s="192"/>
      <c r="AG44" s="192"/>
      <c r="AH44" s="192"/>
      <c r="AI44" s="192"/>
      <c r="AJ44" s="192"/>
      <c r="AK44" s="192"/>
      <c r="AL44" s="192"/>
      <c r="AM44" s="192"/>
      <c r="AN44" s="192"/>
      <c r="AO44" s="192"/>
      <c r="AP44" s="192"/>
      <c r="AQ44" s="192"/>
      <c r="AR44" s="192"/>
    </row>
    <row r="45" spans="1:44" x14ac:dyDescent="0.2">
      <c r="A45" s="168">
        <v>42</v>
      </c>
      <c r="B45" s="189" t="s">
        <v>314</v>
      </c>
      <c r="C45" s="192"/>
      <c r="D45" s="192"/>
      <c r="E45" s="194"/>
      <c r="F45" s="192"/>
      <c r="G45" s="192"/>
      <c r="H45" s="192"/>
      <c r="I45" s="192"/>
      <c r="J45" s="192"/>
      <c r="K45" s="192"/>
      <c r="L45" s="192"/>
      <c r="M45" s="192"/>
      <c r="N45" s="192"/>
      <c r="O45" s="192"/>
      <c r="P45" s="192"/>
      <c r="Q45" s="192"/>
      <c r="R45" s="192"/>
      <c r="S45" s="192"/>
      <c r="T45" s="192"/>
      <c r="U45" s="192"/>
      <c r="V45" s="192"/>
      <c r="W45" s="192"/>
      <c r="X45" s="192"/>
      <c r="Y45" s="192"/>
      <c r="Z45" s="192"/>
      <c r="AA45" s="192"/>
      <c r="AB45" s="192"/>
      <c r="AC45" s="192"/>
      <c r="AD45" s="192"/>
      <c r="AE45" s="192"/>
      <c r="AF45" s="192"/>
      <c r="AG45" s="192"/>
      <c r="AH45" s="192"/>
      <c r="AI45" s="192"/>
      <c r="AJ45" s="192"/>
      <c r="AK45" s="192"/>
      <c r="AL45" s="192"/>
      <c r="AM45" s="192"/>
      <c r="AN45" s="192"/>
      <c r="AO45" s="192"/>
      <c r="AP45" s="192"/>
      <c r="AQ45" s="192"/>
      <c r="AR45" s="192"/>
    </row>
    <row r="46" spans="1:44" x14ac:dyDescent="0.2">
      <c r="A46" s="168">
        <v>43</v>
      </c>
      <c r="B46" s="189" t="s">
        <v>315</v>
      </c>
      <c r="C46" s="192"/>
      <c r="D46" s="192"/>
      <c r="E46" s="194"/>
      <c r="F46" s="192"/>
      <c r="G46" s="192"/>
      <c r="H46" s="192"/>
      <c r="I46" s="192"/>
      <c r="J46" s="192"/>
      <c r="K46" s="192"/>
      <c r="L46" s="192"/>
      <c r="M46" s="192"/>
      <c r="N46" s="192"/>
      <c r="O46" s="192"/>
      <c r="P46" s="192"/>
      <c r="Q46" s="192"/>
      <c r="R46" s="192"/>
      <c r="S46" s="192"/>
      <c r="T46" s="192"/>
      <c r="U46" s="192"/>
      <c r="V46" s="192"/>
      <c r="W46" s="192"/>
      <c r="X46" s="192"/>
      <c r="Y46" s="192"/>
      <c r="Z46" s="192"/>
      <c r="AA46" s="192"/>
      <c r="AB46" s="192"/>
      <c r="AC46" s="192"/>
      <c r="AD46" s="192"/>
      <c r="AE46" s="192"/>
      <c r="AF46" s="192"/>
      <c r="AG46" s="192"/>
      <c r="AH46" s="192"/>
      <c r="AI46" s="192"/>
      <c r="AJ46" s="192"/>
      <c r="AK46" s="192"/>
      <c r="AL46" s="192"/>
      <c r="AM46" s="192"/>
      <c r="AN46" s="192"/>
      <c r="AO46" s="192"/>
      <c r="AP46" s="192"/>
      <c r="AQ46" s="192"/>
      <c r="AR46" s="192"/>
    </row>
    <row r="47" spans="1:44" x14ac:dyDescent="0.2">
      <c r="A47" s="168">
        <v>44</v>
      </c>
      <c r="B47" s="189" t="s">
        <v>316</v>
      </c>
      <c r="C47" s="192"/>
      <c r="D47" s="192"/>
      <c r="E47" s="194"/>
      <c r="F47" s="192"/>
      <c r="G47" s="192"/>
      <c r="H47" s="192"/>
      <c r="I47" s="192"/>
      <c r="J47" s="192"/>
      <c r="K47" s="192"/>
      <c r="L47" s="192"/>
      <c r="M47" s="192"/>
      <c r="N47" s="192"/>
      <c r="O47" s="192"/>
      <c r="P47" s="192"/>
      <c r="Q47" s="192"/>
      <c r="R47" s="192"/>
      <c r="S47" s="192"/>
      <c r="T47" s="192"/>
      <c r="U47" s="192"/>
      <c r="V47" s="192"/>
      <c r="W47" s="192"/>
      <c r="X47" s="192"/>
      <c r="Y47" s="192"/>
      <c r="Z47" s="192"/>
      <c r="AA47" s="192"/>
      <c r="AB47" s="192"/>
      <c r="AC47" s="192"/>
      <c r="AD47" s="192"/>
      <c r="AE47" s="192"/>
      <c r="AF47" s="192"/>
      <c r="AG47" s="192"/>
      <c r="AH47" s="192"/>
      <c r="AI47" s="192"/>
      <c r="AJ47" s="192"/>
      <c r="AK47" s="192"/>
      <c r="AL47" s="192"/>
      <c r="AM47" s="192"/>
      <c r="AN47" s="192"/>
      <c r="AO47" s="192"/>
      <c r="AP47" s="192"/>
      <c r="AQ47" s="192"/>
      <c r="AR47" s="192"/>
    </row>
    <row r="48" spans="1:44" x14ac:dyDescent="0.2">
      <c r="A48" s="168">
        <v>45</v>
      </c>
      <c r="B48" s="189" t="s">
        <v>317</v>
      </c>
      <c r="C48" s="192"/>
      <c r="D48" s="192"/>
      <c r="E48" s="194"/>
      <c r="F48" s="192"/>
      <c r="G48" s="192"/>
      <c r="H48" s="192"/>
      <c r="I48" s="192"/>
      <c r="J48" s="192"/>
      <c r="K48" s="192"/>
      <c r="L48" s="192"/>
      <c r="M48" s="192"/>
      <c r="N48" s="192"/>
      <c r="O48" s="192"/>
      <c r="P48" s="192"/>
      <c r="Q48" s="192"/>
      <c r="R48" s="192"/>
      <c r="S48" s="192"/>
      <c r="T48" s="192"/>
      <c r="U48" s="192"/>
      <c r="V48" s="192"/>
      <c r="W48" s="192"/>
      <c r="X48" s="192"/>
      <c r="Y48" s="192"/>
      <c r="Z48" s="192"/>
      <c r="AA48" s="192"/>
      <c r="AB48" s="192"/>
      <c r="AC48" s="192"/>
      <c r="AD48" s="192"/>
      <c r="AE48" s="192"/>
      <c r="AF48" s="192"/>
      <c r="AG48" s="192"/>
      <c r="AH48" s="192"/>
      <c r="AI48" s="192"/>
      <c r="AJ48" s="192"/>
      <c r="AK48" s="192"/>
      <c r="AL48" s="192"/>
      <c r="AM48" s="192"/>
      <c r="AN48" s="192"/>
      <c r="AO48" s="192"/>
      <c r="AP48" s="192"/>
      <c r="AQ48" s="192"/>
      <c r="AR48" s="192"/>
    </row>
    <row r="49" spans="1:44" x14ac:dyDescent="0.2">
      <c r="A49" s="168">
        <v>46</v>
      </c>
      <c r="B49" s="189" t="s">
        <v>318</v>
      </c>
      <c r="C49" s="192"/>
      <c r="D49" s="192"/>
      <c r="E49" s="194"/>
      <c r="F49" s="192"/>
      <c r="G49" s="192"/>
      <c r="H49" s="192"/>
      <c r="I49" s="192"/>
      <c r="J49" s="192"/>
      <c r="K49" s="192"/>
      <c r="L49" s="192"/>
      <c r="M49" s="192"/>
      <c r="N49" s="192"/>
      <c r="O49" s="192"/>
      <c r="P49" s="192"/>
      <c r="Q49" s="192"/>
      <c r="R49" s="192"/>
      <c r="S49" s="192"/>
      <c r="T49" s="192"/>
      <c r="U49" s="192"/>
      <c r="V49" s="192"/>
      <c r="W49" s="192"/>
      <c r="X49" s="192"/>
      <c r="Y49" s="192"/>
      <c r="Z49" s="192"/>
      <c r="AA49" s="192"/>
      <c r="AB49" s="192"/>
      <c r="AC49" s="192"/>
      <c r="AD49" s="192"/>
      <c r="AE49" s="192"/>
      <c r="AF49" s="192"/>
      <c r="AG49" s="192"/>
      <c r="AH49" s="192"/>
      <c r="AI49" s="192"/>
      <c r="AJ49" s="192"/>
      <c r="AK49" s="192"/>
      <c r="AL49" s="192"/>
      <c r="AM49" s="192"/>
      <c r="AN49" s="192"/>
      <c r="AO49" s="192"/>
      <c r="AP49" s="192"/>
      <c r="AQ49" s="192"/>
      <c r="AR49" s="192"/>
    </row>
    <row r="50" spans="1:44" x14ac:dyDescent="0.2">
      <c r="A50" s="168">
        <v>47</v>
      </c>
      <c r="B50" s="189" t="s">
        <v>319</v>
      </c>
      <c r="C50" s="192"/>
      <c r="D50" s="192"/>
      <c r="E50" s="194"/>
      <c r="F50" s="192"/>
      <c r="G50" s="192"/>
      <c r="H50" s="192"/>
      <c r="I50" s="192"/>
      <c r="J50" s="192"/>
      <c r="K50" s="192"/>
      <c r="L50" s="192"/>
      <c r="M50" s="192"/>
      <c r="N50" s="192"/>
      <c r="O50" s="192"/>
      <c r="P50" s="192"/>
      <c r="Q50" s="192"/>
      <c r="R50" s="192"/>
      <c r="S50" s="192"/>
      <c r="T50" s="192"/>
      <c r="U50" s="192"/>
      <c r="V50" s="192"/>
      <c r="W50" s="192"/>
      <c r="X50" s="192"/>
      <c r="Y50" s="192"/>
      <c r="Z50" s="192"/>
      <c r="AA50" s="192"/>
      <c r="AB50" s="192"/>
      <c r="AC50" s="192"/>
      <c r="AD50" s="192"/>
      <c r="AE50" s="192"/>
      <c r="AF50" s="192"/>
      <c r="AG50" s="192"/>
      <c r="AH50" s="192"/>
      <c r="AI50" s="192"/>
      <c r="AJ50" s="192"/>
      <c r="AK50" s="192"/>
      <c r="AL50" s="192"/>
      <c r="AM50" s="192"/>
      <c r="AN50" s="192"/>
      <c r="AO50" s="192"/>
      <c r="AP50" s="192"/>
      <c r="AQ50" s="192"/>
      <c r="AR50" s="192"/>
    </row>
    <row r="51" spans="1:44" x14ac:dyDescent="0.2">
      <c r="A51" s="168">
        <v>48</v>
      </c>
      <c r="B51" s="189" t="s">
        <v>320</v>
      </c>
      <c r="C51" s="192"/>
      <c r="D51" s="192"/>
      <c r="E51" s="194"/>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c r="AK51" s="192"/>
      <c r="AL51" s="192"/>
      <c r="AM51" s="192"/>
      <c r="AN51" s="192"/>
      <c r="AO51" s="192"/>
      <c r="AP51" s="192"/>
      <c r="AQ51" s="192"/>
      <c r="AR51" s="192"/>
    </row>
    <row r="52" spans="1:44" x14ac:dyDescent="0.2">
      <c r="A52" s="168">
        <v>49</v>
      </c>
      <c r="B52" s="189" t="s">
        <v>321</v>
      </c>
      <c r="C52" s="192"/>
      <c r="D52" s="192"/>
      <c r="E52" s="194"/>
      <c r="F52" s="192"/>
      <c r="G52" s="192"/>
      <c r="H52" s="192"/>
      <c r="I52" s="192"/>
      <c r="J52" s="192"/>
      <c r="K52" s="192"/>
      <c r="L52" s="192"/>
      <c r="M52" s="192"/>
      <c r="N52" s="192"/>
      <c r="O52" s="192"/>
      <c r="P52" s="192"/>
      <c r="Q52" s="192"/>
      <c r="R52" s="192"/>
      <c r="S52" s="192"/>
      <c r="T52" s="192"/>
      <c r="U52" s="192"/>
      <c r="V52" s="192"/>
      <c r="W52" s="192"/>
      <c r="X52" s="192"/>
      <c r="Y52" s="192"/>
      <c r="Z52" s="192"/>
      <c r="AA52" s="192"/>
      <c r="AB52" s="192"/>
      <c r="AC52" s="192"/>
      <c r="AD52" s="192"/>
      <c r="AE52" s="192"/>
      <c r="AF52" s="192"/>
      <c r="AG52" s="192"/>
      <c r="AH52" s="192"/>
      <c r="AI52" s="192"/>
      <c r="AJ52" s="192"/>
      <c r="AK52" s="192"/>
      <c r="AL52" s="192"/>
      <c r="AM52" s="192"/>
      <c r="AN52" s="192"/>
      <c r="AO52" s="192"/>
      <c r="AP52" s="192"/>
      <c r="AQ52" s="192"/>
      <c r="AR52" s="192"/>
    </row>
    <row r="53" spans="1:44" x14ac:dyDescent="0.2">
      <c r="A53" s="168">
        <v>50</v>
      </c>
      <c r="B53" s="189" t="s">
        <v>322</v>
      </c>
      <c r="C53" s="192"/>
      <c r="D53" s="192"/>
      <c r="E53" s="194"/>
      <c r="F53" s="192"/>
      <c r="G53" s="192"/>
      <c r="H53" s="192"/>
      <c r="I53" s="192"/>
      <c r="J53" s="192"/>
      <c r="K53" s="192"/>
      <c r="L53" s="192"/>
      <c r="M53" s="192"/>
      <c r="N53" s="192"/>
      <c r="O53" s="192"/>
      <c r="P53" s="192"/>
      <c r="Q53" s="192"/>
      <c r="R53" s="192"/>
      <c r="S53" s="192"/>
      <c r="T53" s="192"/>
      <c r="U53" s="192"/>
      <c r="V53" s="192"/>
      <c r="W53" s="192"/>
      <c r="X53" s="192"/>
      <c r="Y53" s="192"/>
      <c r="Z53" s="192"/>
      <c r="AA53" s="192"/>
      <c r="AB53" s="192"/>
      <c r="AC53" s="192"/>
      <c r="AD53" s="192"/>
      <c r="AE53" s="192"/>
      <c r="AF53" s="192"/>
      <c r="AG53" s="192"/>
      <c r="AH53" s="192"/>
      <c r="AI53" s="192"/>
      <c r="AJ53" s="192"/>
      <c r="AK53" s="192"/>
      <c r="AL53" s="192"/>
      <c r="AM53" s="192"/>
      <c r="AN53" s="192"/>
      <c r="AO53" s="192"/>
      <c r="AP53" s="192"/>
      <c r="AQ53" s="192"/>
      <c r="AR53" s="192"/>
    </row>
    <row r="54" spans="1:44" x14ac:dyDescent="0.2">
      <c r="A54" s="168">
        <v>51</v>
      </c>
      <c r="B54" s="189" t="s">
        <v>323</v>
      </c>
      <c r="C54" s="192"/>
      <c r="D54" s="192"/>
      <c r="E54" s="194"/>
      <c r="F54" s="192"/>
      <c r="G54" s="192"/>
      <c r="H54" s="192"/>
      <c r="I54" s="192"/>
      <c r="J54" s="192"/>
      <c r="K54" s="192"/>
      <c r="L54" s="192"/>
      <c r="M54" s="192"/>
      <c r="N54" s="192"/>
      <c r="O54" s="192"/>
      <c r="P54" s="192"/>
      <c r="Q54" s="192"/>
      <c r="R54" s="192"/>
      <c r="S54" s="192"/>
      <c r="T54" s="192"/>
      <c r="U54" s="192"/>
      <c r="V54" s="192"/>
      <c r="W54" s="192"/>
      <c r="X54" s="192"/>
      <c r="Y54" s="192"/>
      <c r="Z54" s="192"/>
      <c r="AA54" s="192"/>
      <c r="AB54" s="192"/>
      <c r="AC54" s="192"/>
      <c r="AD54" s="192"/>
      <c r="AE54" s="192"/>
      <c r="AF54" s="192"/>
      <c r="AG54" s="192"/>
      <c r="AH54" s="192"/>
      <c r="AI54" s="192"/>
      <c r="AJ54" s="192"/>
      <c r="AK54" s="192"/>
      <c r="AL54" s="192"/>
      <c r="AM54" s="192"/>
      <c r="AN54" s="192"/>
      <c r="AO54" s="192"/>
      <c r="AP54" s="192"/>
      <c r="AQ54" s="192"/>
      <c r="AR54" s="192"/>
    </row>
    <row r="55" spans="1:44" ht="16" thickBot="1" x14ac:dyDescent="0.25">
      <c r="A55" s="186">
        <v>52</v>
      </c>
      <c r="B55" s="190" t="s">
        <v>324</v>
      </c>
      <c r="C55" s="193"/>
      <c r="D55" s="193"/>
      <c r="E55" s="195"/>
      <c r="F55" s="192"/>
      <c r="G55" s="192"/>
      <c r="H55" s="192"/>
      <c r="I55" s="192"/>
      <c r="J55" s="192"/>
      <c r="K55" s="192"/>
      <c r="L55" s="192"/>
      <c r="M55" s="192"/>
      <c r="N55" s="192"/>
      <c r="O55" s="192"/>
      <c r="P55" s="192"/>
      <c r="Q55" s="192"/>
      <c r="R55" s="192"/>
      <c r="S55" s="192"/>
      <c r="T55" s="192"/>
      <c r="U55" s="192"/>
      <c r="V55" s="192"/>
      <c r="W55" s="192"/>
      <c r="X55" s="192"/>
      <c r="Y55" s="192"/>
      <c r="Z55" s="192"/>
      <c r="AA55" s="192"/>
      <c r="AB55" s="192"/>
      <c r="AC55" s="192"/>
      <c r="AD55" s="192"/>
      <c r="AE55" s="192"/>
      <c r="AF55" s="192"/>
      <c r="AG55" s="192"/>
      <c r="AH55" s="192"/>
      <c r="AI55" s="192"/>
      <c r="AJ55" s="192"/>
      <c r="AK55" s="192"/>
      <c r="AL55" s="192"/>
      <c r="AM55" s="192"/>
      <c r="AN55" s="192"/>
      <c r="AO55" s="192"/>
      <c r="AP55" s="192"/>
      <c r="AQ55" s="192"/>
      <c r="AR55" s="192"/>
    </row>
    <row r="56" spans="1:44" x14ac:dyDescent="0.2">
      <c r="A56" s="192"/>
      <c r="B56" s="192"/>
      <c r="C56" s="192"/>
      <c r="D56" s="192"/>
      <c r="E56" s="192"/>
      <c r="F56" s="192"/>
      <c r="G56" s="192"/>
      <c r="H56" s="192"/>
      <c r="I56" s="192"/>
      <c r="J56" s="192"/>
      <c r="K56" s="192"/>
      <c r="L56" s="192"/>
      <c r="M56" s="192"/>
      <c r="N56" s="192"/>
      <c r="O56" s="192"/>
      <c r="P56" s="192"/>
      <c r="Q56" s="192"/>
      <c r="R56" s="192"/>
      <c r="S56" s="192"/>
      <c r="T56" s="192"/>
      <c r="U56" s="192"/>
      <c r="V56" s="192"/>
      <c r="W56" s="192"/>
      <c r="X56" s="192"/>
      <c r="Y56" s="192"/>
      <c r="Z56" s="192"/>
      <c r="AA56" s="192"/>
      <c r="AB56" s="192"/>
      <c r="AC56" s="192"/>
      <c r="AD56" s="192"/>
      <c r="AE56" s="192"/>
      <c r="AF56" s="192"/>
      <c r="AG56" s="192"/>
      <c r="AH56" s="192"/>
      <c r="AI56" s="192"/>
      <c r="AJ56" s="192"/>
      <c r="AK56" s="192"/>
      <c r="AL56" s="192"/>
      <c r="AM56" s="192"/>
      <c r="AN56" s="192"/>
      <c r="AO56" s="192"/>
      <c r="AP56" s="192"/>
      <c r="AQ56" s="192"/>
      <c r="AR56" s="192"/>
    </row>
    <row r="57" spans="1:44" x14ac:dyDescent="0.2">
      <c r="A57" s="192"/>
      <c r="B57" s="192"/>
      <c r="C57" s="192"/>
      <c r="D57" s="192"/>
      <c r="E57" s="192"/>
      <c r="F57" s="192"/>
      <c r="G57" s="192"/>
      <c r="H57" s="192"/>
      <c r="I57" s="192"/>
      <c r="J57" s="192"/>
      <c r="K57" s="192"/>
      <c r="L57" s="192"/>
      <c r="M57" s="192"/>
      <c r="N57" s="192"/>
      <c r="O57" s="192"/>
      <c r="P57" s="192"/>
      <c r="Q57" s="192"/>
      <c r="R57" s="192"/>
      <c r="S57" s="192"/>
      <c r="T57" s="192"/>
      <c r="U57" s="192"/>
      <c r="V57" s="192"/>
      <c r="W57" s="192"/>
      <c r="X57" s="192"/>
      <c r="Y57" s="192"/>
      <c r="Z57" s="192"/>
      <c r="AA57" s="192"/>
      <c r="AB57" s="192"/>
      <c r="AC57" s="192"/>
      <c r="AD57" s="192"/>
      <c r="AE57" s="192"/>
      <c r="AF57" s="192"/>
      <c r="AG57" s="192"/>
      <c r="AH57" s="192"/>
      <c r="AI57" s="192"/>
      <c r="AJ57" s="192"/>
      <c r="AK57" s="192"/>
      <c r="AL57" s="192"/>
      <c r="AM57" s="192"/>
      <c r="AN57" s="192"/>
      <c r="AO57" s="192"/>
      <c r="AP57" s="192"/>
      <c r="AQ57" s="192"/>
      <c r="AR57" s="192"/>
    </row>
    <row r="58" spans="1:44" x14ac:dyDescent="0.2">
      <c r="A58" s="192"/>
      <c r="B58" s="192"/>
      <c r="C58" s="192"/>
      <c r="D58" s="192"/>
      <c r="E58" s="192"/>
      <c r="F58" s="192"/>
      <c r="G58" s="192"/>
      <c r="H58" s="192"/>
      <c r="I58" s="192"/>
      <c r="J58" s="192"/>
      <c r="K58" s="192"/>
      <c r="L58" s="192"/>
      <c r="M58" s="192"/>
      <c r="N58" s="192"/>
      <c r="O58" s="192"/>
      <c r="P58" s="192"/>
      <c r="Q58" s="192"/>
      <c r="R58" s="192"/>
      <c r="S58" s="192"/>
      <c r="T58" s="192"/>
      <c r="U58" s="192"/>
      <c r="V58" s="192"/>
      <c r="W58" s="192"/>
      <c r="X58" s="192"/>
      <c r="Y58" s="192"/>
      <c r="Z58" s="192"/>
      <c r="AA58" s="192"/>
      <c r="AB58" s="192"/>
      <c r="AC58" s="192"/>
      <c r="AD58" s="192"/>
      <c r="AE58" s="192"/>
      <c r="AF58" s="192"/>
      <c r="AG58" s="192"/>
      <c r="AH58" s="192"/>
      <c r="AI58" s="192"/>
      <c r="AJ58" s="192"/>
      <c r="AK58" s="192"/>
      <c r="AL58" s="192"/>
      <c r="AM58" s="192"/>
      <c r="AN58" s="192"/>
      <c r="AO58" s="192"/>
      <c r="AP58" s="192"/>
      <c r="AQ58" s="192"/>
      <c r="AR58" s="192"/>
    </row>
    <row r="59" spans="1:44" x14ac:dyDescent="0.2">
      <c r="A59" s="192"/>
      <c r="B59" s="192"/>
      <c r="C59" s="192"/>
      <c r="D59" s="192"/>
      <c r="E59" s="192"/>
      <c r="F59" s="192"/>
      <c r="G59" s="192"/>
      <c r="H59" s="192"/>
      <c r="I59" s="192"/>
      <c r="J59" s="192"/>
      <c r="K59" s="192"/>
      <c r="L59" s="192"/>
      <c r="M59" s="192"/>
      <c r="N59" s="192"/>
      <c r="O59" s="192"/>
      <c r="P59" s="192"/>
      <c r="Q59" s="192"/>
      <c r="R59" s="192"/>
      <c r="S59" s="192"/>
      <c r="T59" s="192"/>
      <c r="U59" s="192"/>
      <c r="V59" s="192"/>
      <c r="W59" s="192"/>
      <c r="X59" s="192"/>
      <c r="Y59" s="192"/>
      <c r="Z59" s="192"/>
      <c r="AA59" s="192"/>
      <c r="AB59" s="192"/>
      <c r="AC59" s="192"/>
      <c r="AD59" s="192"/>
      <c r="AE59" s="192"/>
      <c r="AF59" s="192"/>
      <c r="AG59" s="192"/>
      <c r="AH59" s="192"/>
      <c r="AI59" s="192"/>
      <c r="AJ59" s="192"/>
      <c r="AK59" s="192"/>
      <c r="AL59" s="192"/>
      <c r="AM59" s="192"/>
      <c r="AN59" s="192"/>
      <c r="AO59" s="192"/>
      <c r="AP59" s="192"/>
      <c r="AQ59" s="192"/>
      <c r="AR59" s="192"/>
    </row>
    <row r="60" spans="1:44" x14ac:dyDescent="0.2">
      <c r="A60" s="192"/>
      <c r="B60" s="192"/>
      <c r="C60" s="192"/>
      <c r="D60" s="192"/>
      <c r="E60" s="192"/>
      <c r="F60" s="192"/>
      <c r="G60" s="192"/>
      <c r="H60" s="192"/>
      <c r="I60" s="192"/>
      <c r="J60" s="192"/>
      <c r="K60" s="192"/>
      <c r="L60" s="192"/>
      <c r="M60" s="192"/>
      <c r="N60" s="192"/>
      <c r="O60" s="192"/>
      <c r="P60" s="192"/>
      <c r="Q60" s="192"/>
      <c r="R60" s="192"/>
      <c r="S60" s="192"/>
      <c r="T60" s="192"/>
      <c r="U60" s="192"/>
      <c r="V60" s="192"/>
      <c r="W60" s="192"/>
      <c r="X60" s="192"/>
      <c r="Y60" s="192"/>
      <c r="Z60" s="192"/>
      <c r="AA60" s="192"/>
      <c r="AB60" s="192"/>
      <c r="AC60" s="192"/>
      <c r="AD60" s="192"/>
      <c r="AE60" s="192"/>
      <c r="AF60" s="192"/>
      <c r="AG60" s="192"/>
      <c r="AH60" s="192"/>
      <c r="AI60" s="192"/>
      <c r="AJ60" s="192"/>
      <c r="AK60" s="192"/>
      <c r="AL60" s="192"/>
      <c r="AM60" s="192"/>
      <c r="AN60" s="192"/>
      <c r="AO60" s="192"/>
      <c r="AP60" s="192"/>
      <c r="AQ60" s="192"/>
      <c r="AR60" s="192"/>
    </row>
    <row r="61" spans="1:44" x14ac:dyDescent="0.2">
      <c r="A61" s="192"/>
      <c r="B61" s="192"/>
      <c r="C61" s="192"/>
      <c r="D61" s="192"/>
      <c r="E61" s="192"/>
      <c r="F61" s="192"/>
      <c r="G61" s="192"/>
      <c r="H61" s="192"/>
      <c r="I61" s="192"/>
      <c r="J61" s="192"/>
      <c r="K61" s="192"/>
      <c r="L61" s="192"/>
      <c r="M61" s="192"/>
      <c r="N61" s="192"/>
      <c r="O61" s="192"/>
      <c r="P61" s="192"/>
      <c r="Q61" s="192"/>
      <c r="R61" s="192"/>
      <c r="S61" s="192"/>
      <c r="T61" s="192"/>
      <c r="U61" s="192"/>
      <c r="V61" s="192"/>
      <c r="W61" s="192"/>
      <c r="X61" s="192"/>
      <c r="Y61" s="192"/>
      <c r="Z61" s="192"/>
      <c r="AA61" s="192"/>
      <c r="AB61" s="192"/>
      <c r="AC61" s="192"/>
      <c r="AD61" s="192"/>
      <c r="AE61" s="192"/>
      <c r="AF61" s="192"/>
      <c r="AG61" s="192"/>
      <c r="AH61" s="192"/>
      <c r="AI61" s="192"/>
      <c r="AJ61" s="192"/>
      <c r="AK61" s="192"/>
      <c r="AL61" s="192"/>
      <c r="AM61" s="192"/>
      <c r="AN61" s="192"/>
      <c r="AO61" s="192"/>
      <c r="AP61" s="192"/>
      <c r="AQ61" s="192"/>
      <c r="AR61" s="192"/>
    </row>
    <row r="62" spans="1:44" x14ac:dyDescent="0.2">
      <c r="A62" s="192"/>
      <c r="B62" s="192"/>
      <c r="C62" s="192"/>
      <c r="D62" s="192"/>
      <c r="E62" s="192"/>
      <c r="F62" s="192"/>
      <c r="G62" s="192"/>
      <c r="H62" s="192"/>
      <c r="I62" s="192"/>
      <c r="J62" s="192"/>
      <c r="K62" s="192"/>
      <c r="L62" s="192"/>
      <c r="M62" s="192"/>
      <c r="N62" s="192"/>
      <c r="O62" s="192"/>
      <c r="P62" s="192"/>
      <c r="Q62" s="192"/>
      <c r="R62" s="192"/>
      <c r="S62" s="192"/>
      <c r="T62" s="192"/>
      <c r="U62" s="192"/>
      <c r="V62" s="192"/>
      <c r="W62" s="192"/>
      <c r="X62" s="192"/>
      <c r="Y62" s="192"/>
      <c r="Z62" s="192"/>
      <c r="AA62" s="192"/>
      <c r="AB62" s="192"/>
      <c r="AC62" s="192"/>
      <c r="AD62" s="192"/>
      <c r="AE62" s="192"/>
      <c r="AF62" s="192"/>
      <c r="AG62" s="192"/>
      <c r="AH62" s="192"/>
      <c r="AI62" s="192"/>
      <c r="AJ62" s="192"/>
      <c r="AK62" s="192"/>
      <c r="AL62" s="192"/>
      <c r="AM62" s="192"/>
      <c r="AN62" s="192"/>
      <c r="AO62" s="192"/>
      <c r="AP62" s="192"/>
      <c r="AQ62" s="192"/>
      <c r="AR62" s="192"/>
    </row>
    <row r="63" spans="1:44" x14ac:dyDescent="0.2">
      <c r="A63" s="192"/>
      <c r="B63" s="192"/>
      <c r="C63" s="192"/>
      <c r="D63" s="192"/>
      <c r="E63" s="192"/>
      <c r="F63" s="192"/>
      <c r="G63" s="192"/>
      <c r="H63" s="192"/>
      <c r="I63" s="192"/>
      <c r="J63" s="192"/>
      <c r="K63" s="192"/>
      <c r="L63" s="192"/>
      <c r="M63" s="192"/>
      <c r="N63" s="192"/>
      <c r="O63" s="192"/>
      <c r="P63" s="192"/>
      <c r="Q63" s="192"/>
      <c r="R63" s="192"/>
      <c r="S63" s="192"/>
      <c r="T63" s="192"/>
      <c r="U63" s="192"/>
      <c r="V63" s="192"/>
      <c r="W63" s="192"/>
      <c r="X63" s="192"/>
      <c r="Y63" s="192"/>
      <c r="Z63" s="192"/>
      <c r="AA63" s="192"/>
      <c r="AB63" s="192"/>
      <c r="AC63" s="192"/>
      <c r="AD63" s="192"/>
      <c r="AE63" s="192"/>
      <c r="AF63" s="192"/>
      <c r="AG63" s="192"/>
      <c r="AH63" s="192"/>
      <c r="AI63" s="192"/>
      <c r="AJ63" s="192"/>
      <c r="AK63" s="192"/>
      <c r="AL63" s="192"/>
      <c r="AM63" s="192"/>
      <c r="AN63" s="192"/>
      <c r="AO63" s="192"/>
      <c r="AP63" s="192"/>
      <c r="AQ63" s="192"/>
      <c r="AR63" s="192"/>
    </row>
    <row r="64" spans="1:44" x14ac:dyDescent="0.2">
      <c r="A64" s="192"/>
      <c r="B64" s="192"/>
      <c r="C64" s="192"/>
      <c r="D64" s="192"/>
      <c r="E64" s="192"/>
      <c r="F64" s="192"/>
      <c r="G64" s="192"/>
      <c r="H64" s="192"/>
      <c r="I64" s="192"/>
      <c r="J64" s="192"/>
      <c r="K64" s="192"/>
      <c r="L64" s="192"/>
      <c r="M64" s="192"/>
      <c r="N64" s="192"/>
      <c r="O64" s="192"/>
      <c r="P64" s="192"/>
      <c r="Q64" s="192"/>
      <c r="R64" s="192"/>
      <c r="S64" s="192"/>
      <c r="T64" s="192"/>
      <c r="U64" s="192"/>
      <c r="V64" s="192"/>
      <c r="W64" s="192"/>
      <c r="X64" s="192"/>
      <c r="Y64" s="192"/>
      <c r="Z64" s="192"/>
      <c r="AA64" s="192"/>
      <c r="AB64" s="192"/>
      <c r="AC64" s="192"/>
      <c r="AD64" s="192"/>
      <c r="AE64" s="192"/>
      <c r="AF64" s="192"/>
      <c r="AG64" s="192"/>
      <c r="AH64" s="192"/>
      <c r="AI64" s="192"/>
      <c r="AJ64" s="192"/>
      <c r="AK64" s="192"/>
      <c r="AL64" s="192"/>
      <c r="AM64" s="192"/>
      <c r="AN64" s="192"/>
      <c r="AO64" s="192"/>
      <c r="AP64" s="192"/>
      <c r="AQ64" s="192"/>
      <c r="AR64" s="192"/>
    </row>
    <row r="65" spans="1:44" x14ac:dyDescent="0.2">
      <c r="A65" s="192"/>
      <c r="B65" s="192"/>
      <c r="C65" s="192"/>
      <c r="D65" s="192"/>
      <c r="E65" s="192"/>
      <c r="F65" s="192"/>
      <c r="G65" s="192"/>
      <c r="H65" s="192"/>
      <c r="I65" s="192"/>
      <c r="J65" s="192"/>
      <c r="K65" s="192"/>
      <c r="L65" s="192"/>
      <c r="M65" s="192"/>
      <c r="N65" s="192"/>
      <c r="O65" s="192"/>
      <c r="P65" s="192"/>
      <c r="Q65" s="192"/>
      <c r="R65" s="192"/>
      <c r="S65" s="192"/>
      <c r="T65" s="192"/>
      <c r="U65" s="192"/>
      <c r="V65" s="192"/>
      <c r="W65" s="192"/>
      <c r="X65" s="192"/>
      <c r="Y65" s="192"/>
      <c r="Z65" s="192"/>
      <c r="AA65" s="192"/>
      <c r="AB65" s="192"/>
      <c r="AC65" s="192"/>
      <c r="AD65" s="192"/>
      <c r="AE65" s="192"/>
      <c r="AF65" s="192"/>
      <c r="AG65" s="192"/>
      <c r="AH65" s="192"/>
      <c r="AI65" s="192"/>
      <c r="AJ65" s="192"/>
      <c r="AK65" s="192"/>
      <c r="AL65" s="192"/>
      <c r="AM65" s="192"/>
      <c r="AN65" s="192"/>
      <c r="AO65" s="192"/>
      <c r="AP65" s="192"/>
      <c r="AQ65" s="192"/>
      <c r="AR65" s="192"/>
    </row>
    <row r="66" spans="1:44" x14ac:dyDescent="0.2">
      <c r="A66" s="192"/>
      <c r="B66" s="192"/>
      <c r="C66" s="192"/>
      <c r="D66" s="192"/>
      <c r="E66" s="192"/>
      <c r="F66" s="192"/>
      <c r="G66" s="192"/>
      <c r="H66" s="192"/>
      <c r="I66" s="192"/>
      <c r="J66" s="192"/>
      <c r="K66" s="192"/>
      <c r="L66" s="192"/>
      <c r="M66" s="192"/>
      <c r="N66" s="192"/>
      <c r="O66" s="192"/>
      <c r="P66" s="192"/>
      <c r="Q66" s="192"/>
      <c r="R66" s="192"/>
      <c r="S66" s="192"/>
      <c r="T66" s="192"/>
      <c r="U66" s="192"/>
      <c r="V66" s="192"/>
      <c r="W66" s="192"/>
      <c r="X66" s="192"/>
      <c r="Y66" s="192"/>
      <c r="Z66" s="192"/>
      <c r="AA66" s="192"/>
      <c r="AB66" s="192"/>
      <c r="AC66" s="192"/>
      <c r="AD66" s="192"/>
      <c r="AE66" s="192"/>
      <c r="AF66" s="192"/>
      <c r="AG66" s="192"/>
      <c r="AH66" s="192"/>
      <c r="AI66" s="192"/>
      <c r="AJ66" s="192"/>
      <c r="AK66" s="192"/>
      <c r="AL66" s="192"/>
      <c r="AM66" s="192"/>
      <c r="AN66" s="192"/>
      <c r="AO66" s="192"/>
      <c r="AP66" s="192"/>
      <c r="AQ66" s="192"/>
      <c r="AR66" s="192"/>
    </row>
  </sheetData>
  <mergeCells count="1">
    <mergeCell ref="A1:E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2EC27-8531-4EA5-A258-FB282849F7DF}">
  <sheetPr codeName="Sheet5">
    <tabColor theme="4"/>
  </sheetPr>
  <dimension ref="A1:Z60"/>
  <sheetViews>
    <sheetView topLeftCell="A23" workbookViewId="0">
      <selection activeCell="AB24" sqref="AB24"/>
    </sheetView>
  </sheetViews>
  <sheetFormatPr baseColWidth="10" defaultColWidth="8.83203125" defaultRowHeight="15" x14ac:dyDescent="0.2"/>
  <cols>
    <col min="1" max="1" width="13" customWidth="1"/>
  </cols>
  <sheetData>
    <row r="1" spans="1:26" x14ac:dyDescent="0.2">
      <c r="A1" s="389" t="s">
        <v>351</v>
      </c>
      <c r="B1" s="390"/>
      <c r="C1" s="390"/>
      <c r="D1" s="390"/>
      <c r="E1" s="390"/>
      <c r="F1" s="390"/>
      <c r="G1" s="390"/>
      <c r="H1" s="390"/>
      <c r="I1" s="390"/>
      <c r="J1" s="390"/>
      <c r="K1" s="390"/>
      <c r="L1" s="390"/>
      <c r="M1" s="390"/>
      <c r="N1" s="390"/>
      <c r="O1" s="390"/>
      <c r="P1" s="390"/>
      <c r="Q1" s="390"/>
      <c r="R1" s="390"/>
      <c r="S1" s="390"/>
      <c r="T1" s="390"/>
      <c r="U1" s="390"/>
      <c r="V1" s="390"/>
      <c r="W1" s="390"/>
      <c r="X1" s="390"/>
      <c r="Y1" s="390"/>
      <c r="Z1" s="391"/>
    </row>
    <row r="2" spans="1:26" x14ac:dyDescent="0.2">
      <c r="A2" s="392"/>
      <c r="B2" s="393"/>
      <c r="C2" s="393"/>
      <c r="D2" s="393"/>
      <c r="E2" s="393"/>
      <c r="F2" s="393"/>
      <c r="G2" s="393"/>
      <c r="H2" s="393"/>
      <c r="I2" s="393"/>
      <c r="J2" s="393"/>
      <c r="K2" s="393"/>
      <c r="L2" s="393"/>
      <c r="M2" s="393"/>
      <c r="N2" s="393"/>
      <c r="O2" s="393"/>
      <c r="P2" s="393"/>
      <c r="Q2" s="393"/>
      <c r="R2" s="393"/>
      <c r="S2" s="393"/>
      <c r="T2" s="393"/>
      <c r="U2" s="393"/>
      <c r="V2" s="393"/>
      <c r="W2" s="393"/>
      <c r="X2" s="393"/>
      <c r="Y2" s="393"/>
      <c r="Z2" s="394"/>
    </row>
    <row r="3" spans="1:26" ht="16" thickBot="1" x14ac:dyDescent="0.25">
      <c r="A3" s="395" t="s">
        <v>352</v>
      </c>
      <c r="B3" s="396"/>
      <c r="C3" s="396"/>
      <c r="D3" s="396"/>
      <c r="E3" s="396"/>
      <c r="F3" s="396"/>
      <c r="G3" s="396"/>
      <c r="H3" s="396"/>
      <c r="I3" s="396"/>
      <c r="J3" s="396"/>
      <c r="K3" s="396"/>
      <c r="L3" s="396"/>
      <c r="M3" s="396"/>
      <c r="N3" s="396"/>
      <c r="O3" s="396"/>
      <c r="P3" s="396"/>
      <c r="Q3" s="396"/>
      <c r="R3" s="396"/>
      <c r="S3" s="396"/>
      <c r="T3" s="396"/>
      <c r="U3" s="396"/>
      <c r="V3" s="396"/>
      <c r="W3" s="396"/>
      <c r="X3" s="396"/>
      <c r="Y3" s="396"/>
      <c r="Z3" s="397"/>
    </row>
    <row r="4" spans="1:26" ht="21" x14ac:dyDescent="0.2">
      <c r="A4" s="371" t="s">
        <v>211</v>
      </c>
      <c r="B4" s="372"/>
      <c r="C4" s="372"/>
      <c r="D4" s="372"/>
      <c r="E4" s="372"/>
      <c r="F4" s="372"/>
      <c r="G4" s="372"/>
      <c r="H4" s="372"/>
      <c r="I4" s="372"/>
      <c r="J4" s="372"/>
      <c r="K4" s="399"/>
      <c r="L4" s="399"/>
      <c r="M4" s="399"/>
      <c r="N4" s="399"/>
      <c r="O4" s="399"/>
      <c r="P4" s="399"/>
      <c r="Q4" s="399"/>
      <c r="R4" s="399"/>
      <c r="S4" s="399"/>
      <c r="T4" s="399"/>
      <c r="U4" s="399"/>
      <c r="V4" s="399"/>
      <c r="W4" s="399"/>
      <c r="X4" s="399"/>
      <c r="Y4" s="399"/>
      <c r="Z4" s="400"/>
    </row>
    <row r="5" spans="1:26" ht="15" customHeight="1" x14ac:dyDescent="0.2">
      <c r="A5" s="109" t="s">
        <v>199</v>
      </c>
      <c r="B5" s="337" t="s">
        <v>205</v>
      </c>
      <c r="C5" s="337"/>
      <c r="D5" s="337"/>
      <c r="E5" s="337"/>
      <c r="F5" s="337"/>
      <c r="G5" s="337"/>
      <c r="H5" s="337"/>
      <c r="I5" s="337"/>
      <c r="J5" s="337"/>
      <c r="K5" s="337"/>
      <c r="L5" s="337"/>
      <c r="M5" s="337"/>
      <c r="N5" s="337"/>
      <c r="O5" s="337"/>
      <c r="P5" s="337"/>
      <c r="Q5" s="337"/>
      <c r="R5" s="337"/>
      <c r="S5" s="337"/>
      <c r="T5" s="337"/>
      <c r="U5" s="337"/>
      <c r="V5" s="337"/>
      <c r="W5" s="337"/>
      <c r="X5" s="337"/>
      <c r="Y5" s="337"/>
      <c r="Z5" s="398"/>
    </row>
    <row r="6" spans="1:26" ht="16" x14ac:dyDescent="0.2">
      <c r="A6" s="116" t="s">
        <v>200</v>
      </c>
      <c r="B6" s="337"/>
      <c r="C6" s="337"/>
      <c r="D6" s="337"/>
      <c r="E6" s="337"/>
      <c r="F6" s="337"/>
      <c r="G6" s="337"/>
      <c r="H6" s="337"/>
      <c r="I6" s="337"/>
      <c r="J6" s="337"/>
      <c r="K6" s="337"/>
      <c r="L6" s="337"/>
      <c r="M6" s="337"/>
      <c r="N6" s="337"/>
      <c r="O6" s="337"/>
      <c r="P6" s="337"/>
      <c r="Q6" s="337"/>
      <c r="R6" s="337"/>
      <c r="S6" s="337"/>
      <c r="T6" s="337"/>
      <c r="U6" s="337"/>
      <c r="V6" s="337"/>
      <c r="W6" s="337"/>
      <c r="X6" s="337"/>
      <c r="Y6" s="337"/>
      <c r="Z6" s="398"/>
    </row>
    <row r="7" spans="1:26" ht="16" x14ac:dyDescent="0.2">
      <c r="A7" s="110" t="s">
        <v>202</v>
      </c>
      <c r="B7" s="337"/>
      <c r="C7" s="337"/>
      <c r="D7" s="337"/>
      <c r="E7" s="337"/>
      <c r="F7" s="337"/>
      <c r="G7" s="337"/>
      <c r="H7" s="337"/>
      <c r="I7" s="337"/>
      <c r="J7" s="337"/>
      <c r="K7" s="337"/>
      <c r="L7" s="337"/>
      <c r="M7" s="337"/>
      <c r="N7" s="337"/>
      <c r="O7" s="337"/>
      <c r="P7" s="337"/>
      <c r="Q7" s="337"/>
      <c r="R7" s="337"/>
      <c r="S7" s="337"/>
      <c r="T7" s="337"/>
      <c r="U7" s="337"/>
      <c r="V7" s="337"/>
      <c r="W7" s="337"/>
      <c r="X7" s="337"/>
      <c r="Y7" s="337"/>
      <c r="Z7" s="398"/>
    </row>
    <row r="8" spans="1:26" ht="16" x14ac:dyDescent="0.2">
      <c r="A8" s="111" t="s">
        <v>203</v>
      </c>
      <c r="B8" s="337"/>
      <c r="C8" s="337"/>
      <c r="D8" s="337"/>
      <c r="E8" s="337"/>
      <c r="F8" s="337"/>
      <c r="G8" s="337"/>
      <c r="H8" s="337"/>
      <c r="I8" s="337"/>
      <c r="J8" s="337"/>
      <c r="K8" s="337"/>
      <c r="L8" s="337"/>
      <c r="M8" s="337"/>
      <c r="N8" s="337"/>
      <c r="O8" s="337"/>
      <c r="P8" s="337"/>
      <c r="Q8" s="337"/>
      <c r="R8" s="337"/>
      <c r="S8" s="337"/>
      <c r="T8" s="337"/>
      <c r="U8" s="337"/>
      <c r="V8" s="337"/>
      <c r="W8" s="337"/>
      <c r="X8" s="337"/>
      <c r="Y8" s="337"/>
      <c r="Z8" s="398"/>
    </row>
    <row r="9" spans="1:26" ht="16" x14ac:dyDescent="0.2">
      <c r="A9" s="112" t="s">
        <v>201</v>
      </c>
      <c r="B9" s="337"/>
      <c r="C9" s="337"/>
      <c r="D9" s="337"/>
      <c r="E9" s="337"/>
      <c r="F9" s="337"/>
      <c r="G9" s="337"/>
      <c r="H9" s="337"/>
      <c r="I9" s="337"/>
      <c r="J9" s="337"/>
      <c r="K9" s="337"/>
      <c r="L9" s="337"/>
      <c r="M9" s="337"/>
      <c r="N9" s="337"/>
      <c r="O9" s="337"/>
      <c r="P9" s="337"/>
      <c r="Q9" s="337"/>
      <c r="R9" s="337"/>
      <c r="S9" s="337"/>
      <c r="T9" s="337"/>
      <c r="U9" s="337"/>
      <c r="V9" s="337"/>
      <c r="W9" s="337"/>
      <c r="X9" s="337"/>
      <c r="Y9" s="337"/>
      <c r="Z9" s="398"/>
    </row>
    <row r="10" spans="1:26" ht="17" thickBot="1" x14ac:dyDescent="0.25">
      <c r="A10" s="113" t="s">
        <v>204</v>
      </c>
      <c r="B10" s="383"/>
      <c r="C10" s="383"/>
      <c r="D10" s="383"/>
      <c r="E10" s="383"/>
      <c r="F10" s="383"/>
      <c r="G10" s="383"/>
      <c r="H10" s="383"/>
      <c r="I10" s="383"/>
      <c r="J10" s="383"/>
      <c r="K10" s="383"/>
      <c r="L10" s="383"/>
      <c r="M10" s="383"/>
      <c r="N10" s="383"/>
      <c r="O10" s="383"/>
      <c r="P10" s="383"/>
      <c r="Q10" s="383"/>
      <c r="R10" s="383"/>
      <c r="S10" s="383"/>
      <c r="T10" s="383"/>
      <c r="U10" s="383"/>
      <c r="V10" s="383"/>
      <c r="W10" s="383"/>
      <c r="X10" s="383"/>
      <c r="Y10" s="383"/>
      <c r="Z10" s="384"/>
    </row>
    <row r="11" spans="1:26" ht="21" customHeight="1" x14ac:dyDescent="0.2">
      <c r="A11" s="373" t="s">
        <v>212</v>
      </c>
      <c r="B11" s="359"/>
      <c r="C11" s="359"/>
      <c r="D11" s="359"/>
      <c r="E11" s="359"/>
      <c r="F11" s="359"/>
      <c r="G11" s="359"/>
      <c r="H11" s="359"/>
      <c r="I11" s="359"/>
      <c r="J11" s="359"/>
      <c r="K11" s="360"/>
      <c r="L11" s="360"/>
      <c r="M11" s="360"/>
      <c r="N11" s="360"/>
      <c r="O11" s="360"/>
      <c r="P11" s="360"/>
      <c r="Q11" s="360"/>
      <c r="R11" s="360"/>
      <c r="S11" s="360"/>
      <c r="T11" s="360"/>
      <c r="U11" s="360"/>
      <c r="V11" s="360"/>
      <c r="W11" s="360"/>
      <c r="X11" s="360"/>
      <c r="Y11" s="360"/>
      <c r="Z11" s="361"/>
    </row>
    <row r="12" spans="1:26" ht="16" thickBot="1" x14ac:dyDescent="0.25">
      <c r="A12" s="362" t="s">
        <v>198</v>
      </c>
      <c r="B12" s="363"/>
      <c r="C12" s="363"/>
      <c r="D12" s="363"/>
      <c r="E12" s="363"/>
      <c r="F12" s="363"/>
      <c r="G12" s="363"/>
      <c r="H12" s="363"/>
      <c r="I12" s="363"/>
      <c r="J12" s="363"/>
      <c r="K12" s="363"/>
      <c r="L12" s="363"/>
      <c r="M12" s="363"/>
      <c r="N12" s="363"/>
      <c r="O12" s="363"/>
      <c r="P12" s="363"/>
      <c r="Q12" s="363"/>
      <c r="R12" s="363"/>
      <c r="S12" s="363"/>
      <c r="T12" s="363"/>
      <c r="U12" s="363"/>
      <c r="V12" s="363"/>
      <c r="W12" s="363"/>
      <c r="X12" s="363"/>
      <c r="Y12" s="363"/>
      <c r="Z12" s="364"/>
    </row>
    <row r="13" spans="1:26" ht="21" customHeight="1" x14ac:dyDescent="0.2">
      <c r="A13" s="365" t="s">
        <v>213</v>
      </c>
      <c r="B13" s="366"/>
      <c r="C13" s="366"/>
      <c r="D13" s="366"/>
      <c r="E13" s="366"/>
      <c r="F13" s="366"/>
      <c r="G13" s="366"/>
      <c r="H13" s="366"/>
      <c r="I13" s="366"/>
      <c r="J13" s="366"/>
      <c r="K13" s="385"/>
      <c r="L13" s="385"/>
      <c r="M13" s="385"/>
      <c r="N13" s="385"/>
      <c r="O13" s="385"/>
      <c r="P13" s="385"/>
      <c r="Q13" s="385"/>
      <c r="R13" s="385"/>
      <c r="S13" s="385"/>
      <c r="T13" s="385"/>
      <c r="U13" s="385"/>
      <c r="V13" s="385"/>
      <c r="W13" s="385"/>
      <c r="X13" s="385"/>
      <c r="Y13" s="385"/>
      <c r="Z13" s="386"/>
    </row>
    <row r="14" spans="1:26" x14ac:dyDescent="0.2">
      <c r="A14" s="376" t="s">
        <v>207</v>
      </c>
      <c r="B14" s="377"/>
      <c r="C14" s="377"/>
      <c r="D14" s="377"/>
      <c r="E14" s="377"/>
      <c r="F14" s="377"/>
      <c r="G14" s="377"/>
      <c r="H14" s="377"/>
      <c r="I14" s="377"/>
      <c r="J14" s="377"/>
      <c r="K14" s="377"/>
      <c r="L14" s="377"/>
      <c r="M14" s="377"/>
      <c r="N14" s="377"/>
      <c r="O14" s="377"/>
      <c r="P14" s="377"/>
      <c r="Q14" s="377"/>
      <c r="R14" s="377"/>
      <c r="S14" s="377"/>
      <c r="T14" s="377"/>
      <c r="U14" s="377"/>
      <c r="V14" s="377"/>
      <c r="W14" s="377"/>
      <c r="X14" s="377"/>
      <c r="Y14" s="377"/>
      <c r="Z14" s="378"/>
    </row>
    <row r="15" spans="1:26" ht="16" thickBot="1" x14ac:dyDescent="0.25">
      <c r="A15" s="379"/>
      <c r="B15" s="380"/>
      <c r="C15" s="380"/>
      <c r="D15" s="380"/>
      <c r="E15" s="380"/>
      <c r="F15" s="380"/>
      <c r="G15" s="380"/>
      <c r="H15" s="380"/>
      <c r="I15" s="380"/>
      <c r="J15" s="380"/>
      <c r="K15" s="380"/>
      <c r="L15" s="380"/>
      <c r="M15" s="380"/>
      <c r="N15" s="380"/>
      <c r="O15" s="380"/>
      <c r="P15" s="380"/>
      <c r="Q15" s="380"/>
      <c r="R15" s="380"/>
      <c r="S15" s="380"/>
      <c r="T15" s="380"/>
      <c r="U15" s="380"/>
      <c r="V15" s="380"/>
      <c r="W15" s="380"/>
      <c r="X15" s="380"/>
      <c r="Y15" s="380"/>
      <c r="Z15" s="381"/>
    </row>
    <row r="16" spans="1:26" ht="21" customHeight="1" x14ac:dyDescent="0.2">
      <c r="A16" s="365" t="s">
        <v>214</v>
      </c>
      <c r="B16" s="366"/>
      <c r="C16" s="366"/>
      <c r="D16" s="366"/>
      <c r="E16" s="366"/>
      <c r="F16" s="366"/>
      <c r="G16" s="366"/>
      <c r="H16" s="366"/>
      <c r="I16" s="366"/>
      <c r="J16" s="366"/>
      <c r="K16" s="385"/>
      <c r="L16" s="385"/>
      <c r="M16" s="385"/>
      <c r="N16" s="385"/>
      <c r="O16" s="385"/>
      <c r="P16" s="385"/>
      <c r="Q16" s="385"/>
      <c r="R16" s="385"/>
      <c r="S16" s="385"/>
      <c r="T16" s="385"/>
      <c r="U16" s="385"/>
      <c r="V16" s="385"/>
      <c r="W16" s="385"/>
      <c r="X16" s="385"/>
      <c r="Y16" s="385"/>
      <c r="Z16" s="386"/>
    </row>
    <row r="17" spans="1:26" x14ac:dyDescent="0.2">
      <c r="A17" s="376" t="s">
        <v>208</v>
      </c>
      <c r="B17" s="377"/>
      <c r="C17" s="377"/>
      <c r="D17" s="377"/>
      <c r="E17" s="377"/>
      <c r="F17" s="377"/>
      <c r="G17" s="377"/>
      <c r="H17" s="377"/>
      <c r="I17" s="377"/>
      <c r="J17" s="377"/>
      <c r="K17" s="377"/>
      <c r="L17" s="377"/>
      <c r="M17" s="377"/>
      <c r="N17" s="377"/>
      <c r="O17" s="377"/>
      <c r="P17" s="377"/>
      <c r="Q17" s="377"/>
      <c r="R17" s="377"/>
      <c r="S17" s="377"/>
      <c r="T17" s="377"/>
      <c r="U17" s="377"/>
      <c r="V17" s="377"/>
      <c r="W17" s="377"/>
      <c r="X17" s="377"/>
      <c r="Y17" s="377"/>
      <c r="Z17" s="378"/>
    </row>
    <row r="18" spans="1:26" x14ac:dyDescent="0.2">
      <c r="A18" s="376"/>
      <c r="B18" s="377"/>
      <c r="C18" s="377"/>
      <c r="D18" s="377"/>
      <c r="E18" s="377"/>
      <c r="F18" s="377"/>
      <c r="G18" s="377"/>
      <c r="H18" s="377"/>
      <c r="I18" s="377"/>
      <c r="J18" s="377"/>
      <c r="K18" s="377"/>
      <c r="L18" s="377"/>
      <c r="M18" s="377"/>
      <c r="N18" s="377"/>
      <c r="O18" s="377"/>
      <c r="P18" s="377"/>
      <c r="Q18" s="377"/>
      <c r="R18" s="377"/>
      <c r="S18" s="377"/>
      <c r="T18" s="377"/>
      <c r="U18" s="377"/>
      <c r="V18" s="377"/>
      <c r="W18" s="377"/>
      <c r="X18" s="377"/>
      <c r="Y18" s="377"/>
      <c r="Z18" s="378"/>
    </row>
    <row r="19" spans="1:26" x14ac:dyDescent="0.2">
      <c r="A19" s="376"/>
      <c r="B19" s="377"/>
      <c r="C19" s="377"/>
      <c r="D19" s="377"/>
      <c r="E19" s="377"/>
      <c r="F19" s="377"/>
      <c r="G19" s="377"/>
      <c r="H19" s="377"/>
      <c r="I19" s="377"/>
      <c r="J19" s="377"/>
      <c r="K19" s="377"/>
      <c r="L19" s="377"/>
      <c r="M19" s="377"/>
      <c r="N19" s="377"/>
      <c r="O19" s="377"/>
      <c r="P19" s="377"/>
      <c r="Q19" s="377"/>
      <c r="R19" s="377"/>
      <c r="S19" s="377"/>
      <c r="T19" s="377"/>
      <c r="U19" s="377"/>
      <c r="V19" s="377"/>
      <c r="W19" s="377"/>
      <c r="X19" s="377"/>
      <c r="Y19" s="377"/>
      <c r="Z19" s="378"/>
    </row>
    <row r="20" spans="1:26" ht="16" thickBot="1" x14ac:dyDescent="0.25">
      <c r="A20" s="379"/>
      <c r="B20" s="380"/>
      <c r="C20" s="380"/>
      <c r="D20" s="380"/>
      <c r="E20" s="380"/>
      <c r="F20" s="380"/>
      <c r="G20" s="380"/>
      <c r="H20" s="380"/>
      <c r="I20" s="380"/>
      <c r="J20" s="380"/>
      <c r="K20" s="380"/>
      <c r="L20" s="380"/>
      <c r="M20" s="380"/>
      <c r="N20" s="380"/>
      <c r="O20" s="380"/>
      <c r="P20" s="380"/>
      <c r="Q20" s="380"/>
      <c r="R20" s="380"/>
      <c r="S20" s="380"/>
      <c r="T20" s="380"/>
      <c r="U20" s="380"/>
      <c r="V20" s="380"/>
      <c r="W20" s="380"/>
      <c r="X20" s="380"/>
      <c r="Y20" s="380"/>
      <c r="Z20" s="381"/>
    </row>
    <row r="21" spans="1:26" ht="21" customHeight="1" x14ac:dyDescent="0.2">
      <c r="A21" s="365" t="s">
        <v>215</v>
      </c>
      <c r="B21" s="366"/>
      <c r="C21" s="366"/>
      <c r="D21" s="366"/>
      <c r="E21" s="366"/>
      <c r="F21" s="366"/>
      <c r="G21" s="366"/>
      <c r="H21" s="366"/>
      <c r="I21" s="366"/>
      <c r="J21" s="366"/>
      <c r="K21" s="385"/>
      <c r="L21" s="385"/>
      <c r="M21" s="385"/>
      <c r="N21" s="385"/>
      <c r="O21" s="385"/>
      <c r="P21" s="385"/>
      <c r="Q21" s="385"/>
      <c r="R21" s="385"/>
      <c r="S21" s="385"/>
      <c r="T21" s="385"/>
      <c r="U21" s="385"/>
      <c r="V21" s="385"/>
      <c r="W21" s="385"/>
      <c r="X21" s="385"/>
      <c r="Y21" s="385"/>
      <c r="Z21" s="386"/>
    </row>
    <row r="22" spans="1:26" x14ac:dyDescent="0.2">
      <c r="A22" s="376" t="s">
        <v>206</v>
      </c>
      <c r="B22" s="377"/>
      <c r="C22" s="377"/>
      <c r="D22" s="377"/>
      <c r="E22" s="377"/>
      <c r="F22" s="377"/>
      <c r="G22" s="377"/>
      <c r="H22" s="377"/>
      <c r="I22" s="377"/>
      <c r="J22" s="377"/>
      <c r="K22" s="377"/>
      <c r="L22" s="377"/>
      <c r="M22" s="377"/>
      <c r="N22" s="377"/>
      <c r="O22" s="377"/>
      <c r="P22" s="377"/>
      <c r="Q22" s="377"/>
      <c r="R22" s="377"/>
      <c r="S22" s="377"/>
      <c r="T22" s="377"/>
      <c r="U22" s="377"/>
      <c r="V22" s="377"/>
      <c r="W22" s="377"/>
      <c r="X22" s="377"/>
      <c r="Y22" s="377"/>
      <c r="Z22" s="378"/>
    </row>
    <row r="23" spans="1:26" ht="16" thickBot="1" x14ac:dyDescent="0.25">
      <c r="A23" s="379"/>
      <c r="B23" s="380"/>
      <c r="C23" s="380"/>
      <c r="D23" s="380"/>
      <c r="E23" s="380"/>
      <c r="F23" s="380"/>
      <c r="G23" s="380"/>
      <c r="H23" s="380"/>
      <c r="I23" s="380"/>
      <c r="J23" s="380"/>
      <c r="K23" s="380"/>
      <c r="L23" s="380"/>
      <c r="M23" s="380"/>
      <c r="N23" s="380"/>
      <c r="O23" s="380"/>
      <c r="P23" s="380"/>
      <c r="Q23" s="380"/>
      <c r="R23" s="380"/>
      <c r="S23" s="380"/>
      <c r="T23" s="380"/>
      <c r="U23" s="380"/>
      <c r="V23" s="380"/>
      <c r="W23" s="380"/>
      <c r="X23" s="380"/>
      <c r="Y23" s="380"/>
      <c r="Z23" s="381"/>
    </row>
    <row r="24" spans="1:26" ht="21" customHeight="1" x14ac:dyDescent="0.2">
      <c r="A24" s="365" t="s">
        <v>216</v>
      </c>
      <c r="B24" s="366"/>
      <c r="C24" s="366"/>
      <c r="D24" s="366"/>
      <c r="E24" s="366"/>
      <c r="F24" s="366"/>
      <c r="G24" s="366"/>
      <c r="H24" s="366"/>
      <c r="I24" s="366"/>
      <c r="J24" s="366"/>
      <c r="K24" s="114"/>
      <c r="L24" s="114"/>
      <c r="M24" s="114"/>
      <c r="N24" s="114"/>
      <c r="O24" s="114"/>
      <c r="P24" s="114"/>
      <c r="Q24" s="114"/>
      <c r="R24" s="114"/>
      <c r="S24" s="114"/>
      <c r="T24" s="114"/>
      <c r="U24" s="114"/>
      <c r="V24" s="114"/>
      <c r="W24" s="114"/>
      <c r="X24" s="114"/>
      <c r="Y24" s="114"/>
      <c r="Z24" s="115"/>
    </row>
    <row r="25" spans="1:26" x14ac:dyDescent="0.2">
      <c r="A25" s="376" t="s">
        <v>209</v>
      </c>
      <c r="B25" s="377"/>
      <c r="C25" s="377"/>
      <c r="D25" s="377"/>
      <c r="E25" s="377"/>
      <c r="F25" s="377"/>
      <c r="G25" s="377"/>
      <c r="H25" s="377"/>
      <c r="I25" s="377"/>
      <c r="J25" s="377"/>
      <c r="K25" s="377"/>
      <c r="L25" s="377"/>
      <c r="M25" s="377"/>
      <c r="N25" s="377"/>
      <c r="O25" s="377"/>
      <c r="P25" s="377"/>
      <c r="Q25" s="377"/>
      <c r="R25" s="377"/>
      <c r="S25" s="377"/>
      <c r="T25" s="377"/>
      <c r="U25" s="377"/>
      <c r="V25" s="377"/>
      <c r="W25" s="377"/>
      <c r="X25" s="377"/>
      <c r="Y25" s="377"/>
      <c r="Z25" s="378"/>
    </row>
    <row r="26" spans="1:26" x14ac:dyDescent="0.2">
      <c r="A26" s="376"/>
      <c r="B26" s="377"/>
      <c r="C26" s="377"/>
      <c r="D26" s="377"/>
      <c r="E26" s="377"/>
      <c r="F26" s="377"/>
      <c r="G26" s="377"/>
      <c r="H26" s="377"/>
      <c r="I26" s="377"/>
      <c r="J26" s="377"/>
      <c r="K26" s="377"/>
      <c r="L26" s="377"/>
      <c r="M26" s="377"/>
      <c r="N26" s="377"/>
      <c r="O26" s="377"/>
      <c r="P26" s="377"/>
      <c r="Q26" s="377"/>
      <c r="R26" s="377"/>
      <c r="S26" s="377"/>
      <c r="T26" s="377"/>
      <c r="U26" s="377"/>
      <c r="V26" s="377"/>
      <c r="W26" s="377"/>
      <c r="X26" s="377"/>
      <c r="Y26" s="377"/>
      <c r="Z26" s="378"/>
    </row>
    <row r="27" spans="1:26" ht="16" thickBot="1" x14ac:dyDescent="0.25">
      <c r="A27" s="379"/>
      <c r="B27" s="380"/>
      <c r="C27" s="380"/>
      <c r="D27" s="380"/>
      <c r="E27" s="380"/>
      <c r="F27" s="380"/>
      <c r="G27" s="380"/>
      <c r="H27" s="380"/>
      <c r="I27" s="380"/>
      <c r="J27" s="380"/>
      <c r="K27" s="380"/>
      <c r="L27" s="380"/>
      <c r="M27" s="380"/>
      <c r="N27" s="380"/>
      <c r="O27" s="380"/>
      <c r="P27" s="380"/>
      <c r="Q27" s="380"/>
      <c r="R27" s="380"/>
      <c r="S27" s="380"/>
      <c r="T27" s="380"/>
      <c r="U27" s="380"/>
      <c r="V27" s="380"/>
      <c r="W27" s="380"/>
      <c r="X27" s="380"/>
      <c r="Y27" s="380"/>
      <c r="Z27" s="381"/>
    </row>
    <row r="28" spans="1:26" ht="21" customHeight="1" x14ac:dyDescent="0.2">
      <c r="A28" s="365" t="s">
        <v>217</v>
      </c>
      <c r="B28" s="366"/>
      <c r="C28" s="366"/>
      <c r="D28" s="366"/>
      <c r="E28" s="366"/>
      <c r="F28" s="366"/>
      <c r="G28" s="366"/>
      <c r="H28" s="366"/>
      <c r="I28" s="366"/>
      <c r="J28" s="366"/>
      <c r="K28" s="385"/>
      <c r="L28" s="385"/>
      <c r="M28" s="385"/>
      <c r="N28" s="385"/>
      <c r="O28" s="385"/>
      <c r="P28" s="385"/>
      <c r="Q28" s="385"/>
      <c r="R28" s="385"/>
      <c r="S28" s="385"/>
      <c r="T28" s="385"/>
      <c r="U28" s="385"/>
      <c r="V28" s="385"/>
      <c r="W28" s="385"/>
      <c r="X28" s="385"/>
      <c r="Y28" s="385"/>
      <c r="Z28" s="386"/>
    </row>
    <row r="29" spans="1:26" x14ac:dyDescent="0.2">
      <c r="A29" s="376" t="s">
        <v>208</v>
      </c>
      <c r="B29" s="377"/>
      <c r="C29" s="377"/>
      <c r="D29" s="377"/>
      <c r="E29" s="377"/>
      <c r="F29" s="377"/>
      <c r="G29" s="377"/>
      <c r="H29" s="377"/>
      <c r="I29" s="377"/>
      <c r="J29" s="377"/>
      <c r="K29" s="377"/>
      <c r="L29" s="377"/>
      <c r="M29" s="377"/>
      <c r="N29" s="377"/>
      <c r="O29" s="377"/>
      <c r="P29" s="377"/>
      <c r="Q29" s="377"/>
      <c r="R29" s="377"/>
      <c r="S29" s="377"/>
      <c r="T29" s="377"/>
      <c r="U29" s="377"/>
      <c r="V29" s="377"/>
      <c r="W29" s="377"/>
      <c r="X29" s="377"/>
      <c r="Y29" s="377"/>
      <c r="Z29" s="378"/>
    </row>
    <row r="30" spans="1:26" x14ac:dyDescent="0.2">
      <c r="A30" s="376"/>
      <c r="B30" s="377"/>
      <c r="C30" s="377"/>
      <c r="D30" s="377"/>
      <c r="E30" s="377"/>
      <c r="F30" s="377"/>
      <c r="G30" s="377"/>
      <c r="H30" s="377"/>
      <c r="I30" s="377"/>
      <c r="J30" s="377"/>
      <c r="K30" s="377"/>
      <c r="L30" s="377"/>
      <c r="M30" s="377"/>
      <c r="N30" s="377"/>
      <c r="O30" s="377"/>
      <c r="P30" s="377"/>
      <c r="Q30" s="377"/>
      <c r="R30" s="377"/>
      <c r="S30" s="377"/>
      <c r="T30" s="377"/>
      <c r="U30" s="377"/>
      <c r="V30" s="377"/>
      <c r="W30" s="377"/>
      <c r="X30" s="377"/>
      <c r="Y30" s="377"/>
      <c r="Z30" s="378"/>
    </row>
    <row r="31" spans="1:26" x14ac:dyDescent="0.2">
      <c r="A31" s="376"/>
      <c r="B31" s="377"/>
      <c r="C31" s="377"/>
      <c r="D31" s="377"/>
      <c r="E31" s="377"/>
      <c r="F31" s="377"/>
      <c r="G31" s="377"/>
      <c r="H31" s="377"/>
      <c r="I31" s="377"/>
      <c r="J31" s="377"/>
      <c r="K31" s="377"/>
      <c r="L31" s="377"/>
      <c r="M31" s="377"/>
      <c r="N31" s="377"/>
      <c r="O31" s="377"/>
      <c r="P31" s="377"/>
      <c r="Q31" s="377"/>
      <c r="R31" s="377"/>
      <c r="S31" s="377"/>
      <c r="T31" s="377"/>
      <c r="U31" s="377"/>
      <c r="V31" s="377"/>
      <c r="W31" s="377"/>
      <c r="X31" s="377"/>
      <c r="Y31" s="377"/>
      <c r="Z31" s="378"/>
    </row>
    <row r="32" spans="1:26" ht="16" thickBot="1" x14ac:dyDescent="0.25">
      <c r="A32" s="379"/>
      <c r="B32" s="380"/>
      <c r="C32" s="380"/>
      <c r="D32" s="380"/>
      <c r="E32" s="380"/>
      <c r="F32" s="380"/>
      <c r="G32" s="380"/>
      <c r="H32" s="380"/>
      <c r="I32" s="380"/>
      <c r="J32" s="380"/>
      <c r="K32" s="380"/>
      <c r="L32" s="380"/>
      <c r="M32" s="380"/>
      <c r="N32" s="380"/>
      <c r="O32" s="380"/>
      <c r="P32" s="380"/>
      <c r="Q32" s="380"/>
      <c r="R32" s="380"/>
      <c r="S32" s="380"/>
      <c r="T32" s="380"/>
      <c r="U32" s="380"/>
      <c r="V32" s="380"/>
      <c r="W32" s="380"/>
      <c r="X32" s="380"/>
      <c r="Y32" s="380"/>
      <c r="Z32" s="381"/>
    </row>
    <row r="33" spans="1:26" ht="21" customHeight="1" x14ac:dyDescent="0.2">
      <c r="A33" s="365" t="s">
        <v>218</v>
      </c>
      <c r="B33" s="366"/>
      <c r="C33" s="366"/>
      <c r="D33" s="366"/>
      <c r="E33" s="366"/>
      <c r="F33" s="366"/>
      <c r="G33" s="366"/>
      <c r="H33" s="366"/>
      <c r="I33" s="366"/>
      <c r="J33" s="366"/>
      <c r="K33" s="385"/>
      <c r="L33" s="385"/>
      <c r="M33" s="385"/>
      <c r="N33" s="385"/>
      <c r="O33" s="385"/>
      <c r="P33" s="385"/>
      <c r="Q33" s="385"/>
      <c r="R33" s="385"/>
      <c r="S33" s="385"/>
      <c r="T33" s="385"/>
      <c r="U33" s="385"/>
      <c r="V33" s="385"/>
      <c r="W33" s="385"/>
      <c r="X33" s="385"/>
      <c r="Y33" s="385"/>
      <c r="Z33" s="386"/>
    </row>
    <row r="34" spans="1:26" x14ac:dyDescent="0.2">
      <c r="A34" s="376" t="s">
        <v>206</v>
      </c>
      <c r="B34" s="377"/>
      <c r="C34" s="377"/>
      <c r="D34" s="377"/>
      <c r="E34" s="377"/>
      <c r="F34" s="377"/>
      <c r="G34" s="377"/>
      <c r="H34" s="377"/>
      <c r="I34" s="377"/>
      <c r="J34" s="377"/>
      <c r="K34" s="377"/>
      <c r="L34" s="377"/>
      <c r="M34" s="377"/>
      <c r="N34" s="377"/>
      <c r="O34" s="377"/>
      <c r="P34" s="377"/>
      <c r="Q34" s="377"/>
      <c r="R34" s="377"/>
      <c r="S34" s="377"/>
      <c r="T34" s="377"/>
      <c r="U34" s="377"/>
      <c r="V34" s="377"/>
      <c r="W34" s="377"/>
      <c r="X34" s="377"/>
      <c r="Y34" s="377"/>
      <c r="Z34" s="378"/>
    </row>
    <row r="35" spans="1:26" ht="16" thickBot="1" x14ac:dyDescent="0.25">
      <c r="A35" s="379"/>
      <c r="B35" s="380"/>
      <c r="C35" s="380"/>
      <c r="D35" s="380"/>
      <c r="E35" s="380"/>
      <c r="F35" s="380"/>
      <c r="G35" s="380"/>
      <c r="H35" s="380"/>
      <c r="I35" s="380"/>
      <c r="J35" s="380"/>
      <c r="K35" s="380"/>
      <c r="L35" s="380"/>
      <c r="M35" s="380"/>
      <c r="N35" s="380"/>
      <c r="O35" s="380"/>
      <c r="P35" s="380"/>
      <c r="Q35" s="380"/>
      <c r="R35" s="380"/>
      <c r="S35" s="380"/>
      <c r="T35" s="380"/>
      <c r="U35" s="380"/>
      <c r="V35" s="380"/>
      <c r="W35" s="380"/>
      <c r="X35" s="380"/>
      <c r="Y35" s="380"/>
      <c r="Z35" s="381"/>
    </row>
    <row r="36" spans="1:26" ht="21" customHeight="1" x14ac:dyDescent="0.2">
      <c r="A36" s="365" t="s">
        <v>219</v>
      </c>
      <c r="B36" s="366"/>
      <c r="C36" s="366"/>
      <c r="D36" s="366"/>
      <c r="E36" s="366"/>
      <c r="F36" s="366"/>
      <c r="G36" s="366"/>
      <c r="H36" s="366"/>
      <c r="I36" s="366"/>
      <c r="J36" s="366"/>
      <c r="K36" s="385"/>
      <c r="L36" s="385"/>
      <c r="M36" s="385"/>
      <c r="N36" s="385"/>
      <c r="O36" s="385"/>
      <c r="P36" s="385"/>
      <c r="Q36" s="385"/>
      <c r="R36" s="385"/>
      <c r="S36" s="385"/>
      <c r="T36" s="385"/>
      <c r="U36" s="385"/>
      <c r="V36" s="385"/>
      <c r="W36" s="385"/>
      <c r="X36" s="385"/>
      <c r="Y36" s="385"/>
      <c r="Z36" s="386"/>
    </row>
    <row r="37" spans="1:26" x14ac:dyDescent="0.2">
      <c r="A37" s="376" t="s">
        <v>209</v>
      </c>
      <c r="B37" s="377"/>
      <c r="C37" s="377"/>
      <c r="D37" s="377"/>
      <c r="E37" s="377"/>
      <c r="F37" s="377"/>
      <c r="G37" s="377"/>
      <c r="H37" s="377"/>
      <c r="I37" s="377"/>
      <c r="J37" s="377"/>
      <c r="K37" s="377"/>
      <c r="L37" s="377"/>
      <c r="M37" s="377"/>
      <c r="N37" s="377"/>
      <c r="O37" s="377"/>
      <c r="P37" s="377"/>
      <c r="Q37" s="377"/>
      <c r="R37" s="377"/>
      <c r="S37" s="377"/>
      <c r="T37" s="377"/>
      <c r="U37" s="377"/>
      <c r="V37" s="377"/>
      <c r="W37" s="377"/>
      <c r="X37" s="377"/>
      <c r="Y37" s="377"/>
      <c r="Z37" s="378"/>
    </row>
    <row r="38" spans="1:26" x14ac:dyDescent="0.2">
      <c r="A38" s="376"/>
      <c r="B38" s="377"/>
      <c r="C38" s="377"/>
      <c r="D38" s="377"/>
      <c r="E38" s="377"/>
      <c r="F38" s="377"/>
      <c r="G38" s="377"/>
      <c r="H38" s="377"/>
      <c r="I38" s="377"/>
      <c r="J38" s="377"/>
      <c r="K38" s="377"/>
      <c r="L38" s="377"/>
      <c r="M38" s="377"/>
      <c r="N38" s="377"/>
      <c r="O38" s="377"/>
      <c r="P38" s="377"/>
      <c r="Q38" s="377"/>
      <c r="R38" s="377"/>
      <c r="S38" s="377"/>
      <c r="T38" s="377"/>
      <c r="U38" s="377"/>
      <c r="V38" s="377"/>
      <c r="W38" s="377"/>
      <c r="X38" s="377"/>
      <c r="Y38" s="377"/>
      <c r="Z38" s="378"/>
    </row>
    <row r="39" spans="1:26" ht="16" thickBot="1" x14ac:dyDescent="0.25">
      <c r="A39" s="379"/>
      <c r="B39" s="380"/>
      <c r="C39" s="380"/>
      <c r="D39" s="380"/>
      <c r="E39" s="380"/>
      <c r="F39" s="380"/>
      <c r="G39" s="380"/>
      <c r="H39" s="380"/>
      <c r="I39" s="380"/>
      <c r="J39" s="380"/>
      <c r="K39" s="380"/>
      <c r="L39" s="380"/>
      <c r="M39" s="380"/>
      <c r="N39" s="380"/>
      <c r="O39" s="380"/>
      <c r="P39" s="380"/>
      <c r="Q39" s="380"/>
      <c r="R39" s="380"/>
      <c r="S39" s="380"/>
      <c r="T39" s="380"/>
      <c r="U39" s="380"/>
      <c r="V39" s="380"/>
      <c r="W39" s="380"/>
      <c r="X39" s="380"/>
      <c r="Y39" s="380"/>
      <c r="Z39" s="381"/>
    </row>
    <row r="40" spans="1:26" ht="21" customHeight="1" x14ac:dyDescent="0.2">
      <c r="A40" s="371" t="s">
        <v>220</v>
      </c>
      <c r="B40" s="372"/>
      <c r="C40" s="372"/>
      <c r="D40" s="372"/>
      <c r="E40" s="372"/>
      <c r="F40" s="372"/>
      <c r="G40" s="372"/>
      <c r="H40" s="372"/>
      <c r="I40" s="372"/>
      <c r="J40" s="372"/>
      <c r="K40" s="367"/>
      <c r="L40" s="367"/>
      <c r="M40" s="367"/>
      <c r="N40" s="367"/>
      <c r="O40" s="367"/>
      <c r="P40" s="367"/>
      <c r="Q40" s="367"/>
      <c r="R40" s="367"/>
      <c r="S40" s="367"/>
      <c r="T40" s="367"/>
      <c r="U40" s="367"/>
      <c r="V40" s="367"/>
      <c r="W40" s="367"/>
      <c r="X40" s="367"/>
      <c r="Y40" s="367"/>
      <c r="Z40" s="368"/>
    </row>
    <row r="41" spans="1:26" ht="16" thickBot="1" x14ac:dyDescent="0.25">
      <c r="A41" s="382" t="s">
        <v>210</v>
      </c>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4"/>
    </row>
    <row r="42" spans="1:26" ht="21" customHeight="1" x14ac:dyDescent="0.2">
      <c r="A42" s="373" t="s">
        <v>221</v>
      </c>
      <c r="B42" s="359"/>
      <c r="C42" s="359"/>
      <c r="D42" s="359"/>
      <c r="E42" s="359"/>
      <c r="F42" s="359"/>
      <c r="G42" s="359"/>
      <c r="H42" s="359"/>
      <c r="I42" s="359"/>
      <c r="J42" s="359"/>
      <c r="K42" s="360"/>
      <c r="L42" s="360"/>
      <c r="M42" s="360"/>
      <c r="N42" s="360"/>
      <c r="O42" s="360"/>
      <c r="P42" s="360"/>
      <c r="Q42" s="360"/>
      <c r="R42" s="360"/>
      <c r="S42" s="360"/>
      <c r="T42" s="360"/>
      <c r="U42" s="360"/>
      <c r="V42" s="360"/>
      <c r="W42" s="360"/>
      <c r="X42" s="360"/>
      <c r="Y42" s="360"/>
      <c r="Z42" s="361"/>
    </row>
    <row r="43" spans="1:26" x14ac:dyDescent="0.2">
      <c r="A43" s="344" t="s">
        <v>227</v>
      </c>
      <c r="B43" s="345"/>
      <c r="C43" s="345"/>
      <c r="D43" s="345"/>
      <c r="E43" s="345"/>
      <c r="F43" s="345"/>
      <c r="G43" s="345"/>
      <c r="H43" s="345"/>
      <c r="I43" s="345"/>
      <c r="J43" s="345"/>
      <c r="K43" s="345"/>
      <c r="L43" s="345"/>
      <c r="M43" s="345"/>
      <c r="N43" s="345"/>
      <c r="O43" s="345"/>
      <c r="P43" s="345"/>
      <c r="Q43" s="345"/>
      <c r="R43" s="345"/>
      <c r="S43" s="345"/>
      <c r="T43" s="345"/>
      <c r="U43" s="345"/>
      <c r="V43" s="345"/>
      <c r="W43" s="345"/>
      <c r="X43" s="345"/>
      <c r="Y43" s="345"/>
      <c r="Z43" s="346"/>
    </row>
    <row r="44" spans="1:26" ht="16" thickBot="1" x14ac:dyDescent="0.25">
      <c r="A44" s="362"/>
      <c r="B44" s="363"/>
      <c r="C44" s="363"/>
      <c r="D44" s="363"/>
      <c r="E44" s="363"/>
      <c r="F44" s="363"/>
      <c r="G44" s="363"/>
      <c r="H44" s="363"/>
      <c r="I44" s="363"/>
      <c r="J44" s="363"/>
      <c r="K44" s="363"/>
      <c r="L44" s="363"/>
      <c r="M44" s="363"/>
      <c r="N44" s="363"/>
      <c r="O44" s="363"/>
      <c r="P44" s="363"/>
      <c r="Q44" s="363"/>
      <c r="R44" s="363"/>
      <c r="S44" s="363"/>
      <c r="T44" s="363"/>
      <c r="U44" s="363"/>
      <c r="V44" s="363"/>
      <c r="W44" s="363"/>
      <c r="X44" s="363"/>
      <c r="Y44" s="363"/>
      <c r="Z44" s="364"/>
    </row>
    <row r="45" spans="1:26" ht="21" customHeight="1" x14ac:dyDescent="0.2">
      <c r="A45" s="374" t="s">
        <v>222</v>
      </c>
      <c r="B45" s="375"/>
      <c r="C45" s="375"/>
      <c r="D45" s="375"/>
      <c r="E45" s="375"/>
      <c r="F45" s="375"/>
      <c r="G45" s="375"/>
      <c r="H45" s="375"/>
      <c r="I45" s="375"/>
      <c r="J45" s="375"/>
      <c r="K45" s="369"/>
      <c r="L45" s="369"/>
      <c r="M45" s="369"/>
      <c r="N45" s="369"/>
      <c r="O45" s="369"/>
      <c r="P45" s="369"/>
      <c r="Q45" s="369"/>
      <c r="R45" s="369"/>
      <c r="S45" s="369"/>
      <c r="T45" s="369"/>
      <c r="U45" s="369"/>
      <c r="V45" s="369"/>
      <c r="W45" s="369"/>
      <c r="X45" s="369"/>
      <c r="Y45" s="369"/>
      <c r="Z45" s="370"/>
    </row>
    <row r="46" spans="1:26" ht="15" customHeight="1" x14ac:dyDescent="0.2">
      <c r="A46" s="338" t="s">
        <v>228</v>
      </c>
      <c r="B46" s="339"/>
      <c r="C46" s="339"/>
      <c r="D46" s="339"/>
      <c r="E46" s="339"/>
      <c r="F46" s="339"/>
      <c r="G46" s="339"/>
      <c r="H46" s="339"/>
      <c r="I46" s="339"/>
      <c r="J46" s="339"/>
      <c r="K46" s="339"/>
      <c r="L46" s="339"/>
      <c r="M46" s="339"/>
      <c r="N46" s="339"/>
      <c r="O46" s="339"/>
      <c r="P46" s="339"/>
      <c r="Q46" s="339"/>
      <c r="R46" s="339"/>
      <c r="S46" s="339"/>
      <c r="T46" s="339"/>
      <c r="U46" s="339"/>
      <c r="V46" s="339"/>
      <c r="W46" s="339"/>
      <c r="X46" s="339"/>
      <c r="Y46" s="339"/>
      <c r="Z46" s="340"/>
    </row>
    <row r="47" spans="1:26" ht="16" thickBot="1" x14ac:dyDescent="0.25">
      <c r="A47" s="341"/>
      <c r="B47" s="342"/>
      <c r="C47" s="342"/>
      <c r="D47" s="342"/>
      <c r="E47" s="342"/>
      <c r="F47" s="342"/>
      <c r="G47" s="342"/>
      <c r="H47" s="342"/>
      <c r="I47" s="342"/>
      <c r="J47" s="342"/>
      <c r="K47" s="342"/>
      <c r="L47" s="342"/>
      <c r="M47" s="342"/>
      <c r="N47" s="342"/>
      <c r="O47" s="342"/>
      <c r="P47" s="342"/>
      <c r="Q47" s="342"/>
      <c r="R47" s="342"/>
      <c r="S47" s="342"/>
      <c r="T47" s="342"/>
      <c r="U47" s="342"/>
      <c r="V47" s="342"/>
      <c r="W47" s="342"/>
      <c r="X47" s="342"/>
      <c r="Y47" s="342"/>
      <c r="Z47" s="343"/>
    </row>
    <row r="48" spans="1:26" ht="21" customHeight="1" x14ac:dyDescent="0.2">
      <c r="A48" s="401" t="s">
        <v>223</v>
      </c>
      <c r="B48" s="402"/>
      <c r="C48" s="402"/>
      <c r="D48" s="402"/>
      <c r="E48" s="402"/>
      <c r="F48" s="402"/>
      <c r="G48" s="402"/>
      <c r="H48" s="402"/>
      <c r="I48" s="402"/>
      <c r="J48" s="402"/>
      <c r="K48" s="387"/>
      <c r="L48" s="387"/>
      <c r="M48" s="387"/>
      <c r="N48" s="387"/>
      <c r="O48" s="387"/>
      <c r="P48" s="387"/>
      <c r="Q48" s="387"/>
      <c r="R48" s="387"/>
      <c r="S48" s="387"/>
      <c r="T48" s="387"/>
      <c r="U48" s="387"/>
      <c r="V48" s="387"/>
      <c r="W48" s="387"/>
      <c r="X48" s="387"/>
      <c r="Y48" s="387"/>
      <c r="Z48" s="388"/>
    </row>
    <row r="49" spans="1:26" x14ac:dyDescent="0.2">
      <c r="A49" s="324" t="s">
        <v>228</v>
      </c>
      <c r="B49" s="325"/>
      <c r="C49" s="325"/>
      <c r="D49" s="325"/>
      <c r="E49" s="325"/>
      <c r="F49" s="325"/>
      <c r="G49" s="325"/>
      <c r="H49" s="325"/>
      <c r="I49" s="325"/>
      <c r="J49" s="325"/>
      <c r="K49" s="325"/>
      <c r="L49" s="325"/>
      <c r="M49" s="325"/>
      <c r="N49" s="325"/>
      <c r="O49" s="325"/>
      <c r="P49" s="325"/>
      <c r="Q49" s="325"/>
      <c r="R49" s="325"/>
      <c r="S49" s="325"/>
      <c r="T49" s="325"/>
      <c r="U49" s="325"/>
      <c r="V49" s="325"/>
      <c r="W49" s="325"/>
      <c r="X49" s="325"/>
      <c r="Y49" s="325"/>
      <c r="Z49" s="326"/>
    </row>
    <row r="50" spans="1:26" ht="16" thickBot="1" x14ac:dyDescent="0.25">
      <c r="A50" s="327"/>
      <c r="B50" s="328"/>
      <c r="C50" s="328"/>
      <c r="D50" s="328"/>
      <c r="E50" s="328"/>
      <c r="F50" s="328"/>
      <c r="G50" s="328"/>
      <c r="H50" s="328"/>
      <c r="I50" s="328"/>
      <c r="J50" s="328"/>
      <c r="K50" s="328"/>
      <c r="L50" s="328"/>
      <c r="M50" s="328"/>
      <c r="N50" s="328"/>
      <c r="O50" s="328"/>
      <c r="P50" s="328"/>
      <c r="Q50" s="328"/>
      <c r="R50" s="328"/>
      <c r="S50" s="328"/>
      <c r="T50" s="328"/>
      <c r="U50" s="328"/>
      <c r="V50" s="328"/>
      <c r="W50" s="328"/>
      <c r="X50" s="328"/>
      <c r="Y50" s="328"/>
      <c r="Z50" s="329"/>
    </row>
    <row r="51" spans="1:26" ht="21" customHeight="1" x14ac:dyDescent="0.2">
      <c r="A51" s="374" t="s">
        <v>224</v>
      </c>
      <c r="B51" s="375"/>
      <c r="C51" s="375"/>
      <c r="D51" s="375"/>
      <c r="E51" s="375"/>
      <c r="F51" s="375"/>
      <c r="G51" s="375"/>
      <c r="H51" s="375"/>
      <c r="I51" s="375"/>
      <c r="J51" s="375"/>
      <c r="K51" s="369"/>
      <c r="L51" s="369"/>
      <c r="M51" s="369"/>
      <c r="N51" s="369"/>
      <c r="O51" s="369"/>
      <c r="P51" s="369"/>
      <c r="Q51" s="369"/>
      <c r="R51" s="369"/>
      <c r="S51" s="369"/>
      <c r="T51" s="369"/>
      <c r="U51" s="369"/>
      <c r="V51" s="369"/>
      <c r="W51" s="369"/>
      <c r="X51" s="369"/>
      <c r="Y51" s="369"/>
      <c r="Z51" s="370"/>
    </row>
    <row r="52" spans="1:26" x14ac:dyDescent="0.2">
      <c r="A52" s="338" t="s">
        <v>229</v>
      </c>
      <c r="B52" s="339"/>
      <c r="C52" s="339"/>
      <c r="D52" s="339"/>
      <c r="E52" s="339"/>
      <c r="F52" s="339"/>
      <c r="G52" s="339"/>
      <c r="H52" s="339"/>
      <c r="I52" s="339"/>
      <c r="J52" s="339"/>
      <c r="K52" s="339"/>
      <c r="L52" s="339"/>
      <c r="M52" s="339"/>
      <c r="N52" s="339"/>
      <c r="O52" s="339"/>
      <c r="P52" s="339"/>
      <c r="Q52" s="339"/>
      <c r="R52" s="339"/>
      <c r="S52" s="339"/>
      <c r="T52" s="339"/>
      <c r="U52" s="339"/>
      <c r="V52" s="339"/>
      <c r="W52" s="339"/>
      <c r="X52" s="339"/>
      <c r="Y52" s="339"/>
      <c r="Z52" s="340"/>
    </row>
    <row r="53" spans="1:26" ht="16" thickBot="1" x14ac:dyDescent="0.25">
      <c r="A53" s="341"/>
      <c r="B53" s="342"/>
      <c r="C53" s="342"/>
      <c r="D53" s="342"/>
      <c r="E53" s="342"/>
      <c r="F53" s="342"/>
      <c r="G53" s="342"/>
      <c r="H53" s="342"/>
      <c r="I53" s="342"/>
      <c r="J53" s="342"/>
      <c r="K53" s="342"/>
      <c r="L53" s="342"/>
      <c r="M53" s="342"/>
      <c r="N53" s="342"/>
      <c r="O53" s="342"/>
      <c r="P53" s="342"/>
      <c r="Q53" s="342"/>
      <c r="R53" s="342"/>
      <c r="S53" s="342"/>
      <c r="T53" s="342"/>
      <c r="U53" s="342"/>
      <c r="V53" s="342"/>
      <c r="W53" s="342"/>
      <c r="X53" s="342"/>
      <c r="Y53" s="342"/>
      <c r="Z53" s="343"/>
    </row>
    <row r="54" spans="1:26" ht="21" customHeight="1" x14ac:dyDescent="0.2">
      <c r="A54" s="401" t="s">
        <v>225</v>
      </c>
      <c r="B54" s="402"/>
      <c r="C54" s="402"/>
      <c r="D54" s="402"/>
      <c r="E54" s="402"/>
      <c r="F54" s="402"/>
      <c r="G54" s="402"/>
      <c r="H54" s="402"/>
      <c r="I54" s="402"/>
      <c r="J54" s="402"/>
      <c r="K54" s="387"/>
      <c r="L54" s="387"/>
      <c r="M54" s="387"/>
      <c r="N54" s="387"/>
      <c r="O54" s="387"/>
      <c r="P54" s="387"/>
      <c r="Q54" s="387"/>
      <c r="R54" s="387"/>
      <c r="S54" s="387"/>
      <c r="T54" s="387"/>
      <c r="U54" s="387"/>
      <c r="V54" s="387"/>
      <c r="W54" s="387"/>
      <c r="X54" s="387"/>
      <c r="Y54" s="387"/>
      <c r="Z54" s="388"/>
    </row>
    <row r="55" spans="1:26" x14ac:dyDescent="0.2">
      <c r="A55" s="403" t="s">
        <v>229</v>
      </c>
      <c r="B55" s="404"/>
      <c r="C55" s="404"/>
      <c r="D55" s="404"/>
      <c r="E55" s="404"/>
      <c r="F55" s="404"/>
      <c r="G55" s="404"/>
      <c r="H55" s="404"/>
      <c r="I55" s="404"/>
      <c r="J55" s="404"/>
      <c r="K55" s="404"/>
      <c r="L55" s="404"/>
      <c r="M55" s="404"/>
      <c r="N55" s="404"/>
      <c r="O55" s="404"/>
      <c r="P55" s="404"/>
      <c r="Q55" s="404"/>
      <c r="R55" s="404"/>
      <c r="S55" s="404"/>
      <c r="T55" s="404"/>
      <c r="U55" s="404"/>
      <c r="V55" s="404"/>
      <c r="W55" s="404"/>
      <c r="X55" s="404"/>
      <c r="Y55" s="404"/>
      <c r="Z55" s="405"/>
    </row>
    <row r="56" spans="1:26" ht="16" thickBot="1" x14ac:dyDescent="0.25">
      <c r="A56" s="406"/>
      <c r="B56" s="407"/>
      <c r="C56" s="407"/>
      <c r="D56" s="407"/>
      <c r="E56" s="407"/>
      <c r="F56" s="407"/>
      <c r="G56" s="407"/>
      <c r="H56" s="407"/>
      <c r="I56" s="407"/>
      <c r="J56" s="407"/>
      <c r="K56" s="407"/>
      <c r="L56" s="407"/>
      <c r="M56" s="407"/>
      <c r="N56" s="407"/>
      <c r="O56" s="407"/>
      <c r="P56" s="407"/>
      <c r="Q56" s="407"/>
      <c r="R56" s="407"/>
      <c r="S56" s="407"/>
      <c r="T56" s="407"/>
      <c r="U56" s="407"/>
      <c r="V56" s="407"/>
      <c r="W56" s="407"/>
      <c r="X56" s="407"/>
      <c r="Y56" s="407"/>
      <c r="Z56" s="408"/>
    </row>
    <row r="57" spans="1:26" ht="21" customHeight="1" x14ac:dyDescent="0.2">
      <c r="A57" s="373" t="s">
        <v>226</v>
      </c>
      <c r="B57" s="359"/>
      <c r="C57" s="359"/>
      <c r="D57" s="359"/>
      <c r="E57" s="359"/>
      <c r="F57" s="359"/>
      <c r="G57" s="359"/>
      <c r="H57" s="359"/>
      <c r="I57" s="359"/>
      <c r="J57" s="359"/>
      <c r="K57" s="360"/>
      <c r="L57" s="360"/>
      <c r="M57" s="360"/>
      <c r="N57" s="360"/>
      <c r="O57" s="360"/>
      <c r="P57" s="360"/>
      <c r="Q57" s="360"/>
      <c r="R57" s="360"/>
      <c r="S57" s="360"/>
      <c r="T57" s="360"/>
      <c r="U57" s="360"/>
      <c r="V57" s="360"/>
      <c r="W57" s="360"/>
      <c r="X57" s="360"/>
      <c r="Y57" s="360"/>
      <c r="Z57" s="361"/>
    </row>
    <row r="58" spans="1:26" ht="15.75" customHeight="1" thickBot="1" x14ac:dyDescent="0.25">
      <c r="A58" s="362" t="s">
        <v>340</v>
      </c>
      <c r="B58" s="363"/>
      <c r="C58" s="363"/>
      <c r="D58" s="363"/>
      <c r="E58" s="363"/>
      <c r="F58" s="363"/>
      <c r="G58" s="363"/>
      <c r="H58" s="363"/>
      <c r="I58" s="363"/>
      <c r="J58" s="363"/>
      <c r="K58" s="363"/>
      <c r="L58" s="363"/>
      <c r="M58" s="363"/>
      <c r="N58" s="363"/>
      <c r="O58" s="363"/>
      <c r="P58" s="363"/>
      <c r="Q58" s="363"/>
      <c r="R58" s="363"/>
      <c r="S58" s="363"/>
      <c r="T58" s="363"/>
      <c r="U58" s="363"/>
      <c r="V58" s="363"/>
      <c r="W58" s="363"/>
      <c r="X58" s="363"/>
      <c r="Y58" s="363"/>
      <c r="Z58" s="364"/>
    </row>
    <row r="59" spans="1:26" ht="21" x14ac:dyDescent="0.2">
      <c r="A59" s="358" t="s">
        <v>355</v>
      </c>
      <c r="B59" s="359"/>
      <c r="C59" s="359"/>
      <c r="D59" s="359"/>
      <c r="E59" s="359"/>
      <c r="F59" s="359"/>
      <c r="G59" s="359"/>
      <c r="H59" s="359"/>
      <c r="I59" s="359"/>
      <c r="J59" s="359"/>
      <c r="K59" s="360"/>
      <c r="L59" s="360"/>
      <c r="M59" s="360"/>
      <c r="N59" s="360"/>
      <c r="O59" s="360"/>
      <c r="P59" s="360"/>
      <c r="Q59" s="360"/>
      <c r="R59" s="360"/>
      <c r="S59" s="360"/>
      <c r="T59" s="360"/>
      <c r="U59" s="360"/>
      <c r="V59" s="360"/>
      <c r="W59" s="360"/>
      <c r="X59" s="360"/>
      <c r="Y59" s="360"/>
      <c r="Z59" s="361"/>
    </row>
    <row r="60" spans="1:26" ht="16" thickBot="1" x14ac:dyDescent="0.25">
      <c r="A60" s="362" t="s">
        <v>356</v>
      </c>
      <c r="B60" s="363"/>
      <c r="C60" s="363"/>
      <c r="D60" s="363"/>
      <c r="E60" s="363"/>
      <c r="F60" s="363"/>
      <c r="G60" s="363"/>
      <c r="H60" s="363"/>
      <c r="I60" s="363"/>
      <c r="J60" s="363"/>
      <c r="K60" s="363"/>
      <c r="L60" s="363"/>
      <c r="M60" s="363"/>
      <c r="N60" s="363"/>
      <c r="O60" s="363"/>
      <c r="P60" s="363"/>
      <c r="Q60" s="363"/>
      <c r="R60" s="363"/>
      <c r="S60" s="363"/>
      <c r="T60" s="363"/>
      <c r="U60" s="363"/>
      <c r="V60" s="363"/>
      <c r="W60" s="363"/>
      <c r="X60" s="363"/>
      <c r="Y60" s="363"/>
      <c r="Z60" s="364"/>
    </row>
  </sheetData>
  <mergeCells count="52">
    <mergeCell ref="A52:Z53"/>
    <mergeCell ref="A55:Z56"/>
    <mergeCell ref="A58:Z58"/>
    <mergeCell ref="K54:Z54"/>
    <mergeCell ref="K57:Z57"/>
    <mergeCell ref="A54:J54"/>
    <mergeCell ref="A57:J57"/>
    <mergeCell ref="K51:Z51"/>
    <mergeCell ref="A48:J48"/>
    <mergeCell ref="A51:J51"/>
    <mergeCell ref="A43:Z44"/>
    <mergeCell ref="A46:Z47"/>
    <mergeCell ref="A49:Z50"/>
    <mergeCell ref="K21:Z21"/>
    <mergeCell ref="K28:Z28"/>
    <mergeCell ref="K33:Z33"/>
    <mergeCell ref="A21:J21"/>
    <mergeCell ref="A24:J24"/>
    <mergeCell ref="A22:Z23"/>
    <mergeCell ref="A25:Z27"/>
    <mergeCell ref="A29:Z32"/>
    <mergeCell ref="A28:J28"/>
    <mergeCell ref="A1:Z2"/>
    <mergeCell ref="A3:Z3"/>
    <mergeCell ref="A12:Z12"/>
    <mergeCell ref="A14:Z15"/>
    <mergeCell ref="A17:Z20"/>
    <mergeCell ref="A13:J13"/>
    <mergeCell ref="K13:Z13"/>
    <mergeCell ref="A16:J16"/>
    <mergeCell ref="K16:Z16"/>
    <mergeCell ref="B5:Z10"/>
    <mergeCell ref="A4:J4"/>
    <mergeCell ref="K4:Z4"/>
    <mergeCell ref="A11:J11"/>
    <mergeCell ref="K11:Z11"/>
    <mergeCell ref="A59:J59"/>
    <mergeCell ref="K59:Z59"/>
    <mergeCell ref="A60:Z60"/>
    <mergeCell ref="A33:J33"/>
    <mergeCell ref="A36:J36"/>
    <mergeCell ref="K40:Z40"/>
    <mergeCell ref="K42:Z42"/>
    <mergeCell ref="K45:Z45"/>
    <mergeCell ref="A40:J40"/>
    <mergeCell ref="A42:J42"/>
    <mergeCell ref="A45:J45"/>
    <mergeCell ref="A34:Z35"/>
    <mergeCell ref="A37:Z39"/>
    <mergeCell ref="A41:Z41"/>
    <mergeCell ref="K36:Z36"/>
    <mergeCell ref="K48:Z4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3AE7E-8107-47BC-93D8-4BC417460DC9}">
  <sheetPr codeName="Sheet15">
    <tabColor theme="7"/>
  </sheetPr>
  <dimension ref="A1:T30"/>
  <sheetViews>
    <sheetView zoomScaleNormal="100" workbookViewId="0">
      <selection activeCell="D11" sqref="D11"/>
    </sheetView>
  </sheetViews>
  <sheetFormatPr baseColWidth="10" defaultColWidth="8.83203125" defaultRowHeight="15" x14ac:dyDescent="0.2"/>
  <cols>
    <col min="1" max="1" width="4" customWidth="1"/>
    <col min="3" max="3" width="20.33203125" bestFit="1" customWidth="1"/>
    <col min="4" max="4" width="12.5" bestFit="1" customWidth="1"/>
    <col min="5" max="5" width="17.5" bestFit="1" customWidth="1"/>
    <col min="6" max="6" width="13.1640625" customWidth="1"/>
    <col min="7" max="7" width="13.6640625" customWidth="1"/>
    <col min="8" max="8" width="15.1640625" customWidth="1"/>
    <col min="9" max="9" width="12.6640625" bestFit="1" customWidth="1"/>
    <col min="10" max="10" width="5" customWidth="1"/>
    <col min="12" max="12" width="20.33203125" bestFit="1" customWidth="1"/>
    <col min="13" max="13" width="13.5" customWidth="1"/>
    <col min="14" max="14" width="17.5" bestFit="1" customWidth="1"/>
    <col min="15" max="15" width="13.5" customWidth="1"/>
    <col min="16" max="16" width="13.6640625" customWidth="1"/>
    <col min="17" max="17" width="13.83203125" customWidth="1"/>
    <col min="18" max="18" width="12.6640625" bestFit="1" customWidth="1"/>
  </cols>
  <sheetData>
    <row r="1" spans="1:18" ht="16" thickBot="1" x14ac:dyDescent="0.25">
      <c r="A1" s="414" t="s">
        <v>4</v>
      </c>
      <c r="B1" s="415"/>
      <c r="C1" s="415"/>
      <c r="D1" s="415"/>
      <c r="E1" s="415"/>
      <c r="F1" s="415"/>
      <c r="G1" s="415"/>
      <c r="H1" s="415"/>
      <c r="I1" s="146"/>
      <c r="J1" s="412" t="s">
        <v>13</v>
      </c>
      <c r="K1" s="413"/>
      <c r="L1" s="413"/>
      <c r="M1" s="413"/>
      <c r="N1" s="413"/>
      <c r="O1" s="413"/>
      <c r="P1" s="413"/>
      <c r="Q1" s="413"/>
      <c r="R1" s="153"/>
    </row>
    <row r="2" spans="1:18" ht="63" customHeight="1" x14ac:dyDescent="0.2">
      <c r="A2" s="416"/>
      <c r="B2" s="418" t="s">
        <v>102</v>
      </c>
      <c r="C2" s="147" t="s">
        <v>103</v>
      </c>
      <c r="D2" s="57" t="s">
        <v>90</v>
      </c>
      <c r="E2" s="57" t="s">
        <v>91</v>
      </c>
      <c r="F2" s="57" t="s">
        <v>92</v>
      </c>
      <c r="G2" s="57" t="s">
        <v>93</v>
      </c>
      <c r="H2" s="58" t="s">
        <v>94</v>
      </c>
      <c r="I2" s="50"/>
      <c r="J2" s="436"/>
      <c r="K2" s="421" t="s">
        <v>102</v>
      </c>
      <c r="L2" s="59" t="s">
        <v>103</v>
      </c>
      <c r="M2" s="60" t="s">
        <v>90</v>
      </c>
      <c r="N2" s="60" t="s">
        <v>91</v>
      </c>
      <c r="O2" s="60" t="s">
        <v>92</v>
      </c>
      <c r="P2" s="60" t="s">
        <v>93</v>
      </c>
      <c r="Q2" s="61" t="s">
        <v>94</v>
      </c>
      <c r="R2" s="41"/>
    </row>
    <row r="3" spans="1:18" ht="16" x14ac:dyDescent="0.2">
      <c r="A3" s="416"/>
      <c r="B3" s="419"/>
      <c r="C3" s="148" t="s">
        <v>366</v>
      </c>
      <c r="D3" s="63" t="s">
        <v>101</v>
      </c>
      <c r="E3" s="63" t="s">
        <v>263</v>
      </c>
      <c r="F3" s="63" t="s">
        <v>263</v>
      </c>
      <c r="G3" s="63" t="s">
        <v>263</v>
      </c>
      <c r="H3" s="64" t="s">
        <v>263</v>
      </c>
      <c r="I3" s="50"/>
      <c r="J3" s="436"/>
      <c r="K3" s="422"/>
      <c r="L3" s="62" t="s">
        <v>366</v>
      </c>
      <c r="M3" s="65" t="s">
        <v>101</v>
      </c>
      <c r="N3" s="65" t="s">
        <v>263</v>
      </c>
      <c r="O3" s="65" t="s">
        <v>263</v>
      </c>
      <c r="P3" s="65" t="s">
        <v>97</v>
      </c>
      <c r="Q3" s="66" t="s">
        <v>397</v>
      </c>
      <c r="R3" s="41"/>
    </row>
    <row r="4" spans="1:18" ht="16" x14ac:dyDescent="0.2">
      <c r="A4" s="416"/>
      <c r="B4" s="419"/>
      <c r="C4" s="148" t="s">
        <v>367</v>
      </c>
      <c r="D4" s="63" t="s">
        <v>101</v>
      </c>
      <c r="E4" s="63" t="s">
        <v>263</v>
      </c>
      <c r="F4" s="63" t="s">
        <v>263</v>
      </c>
      <c r="G4" s="63" t="s">
        <v>263</v>
      </c>
      <c r="H4" s="64" t="s">
        <v>263</v>
      </c>
      <c r="I4" s="50"/>
      <c r="J4" s="436"/>
      <c r="K4" s="422"/>
      <c r="L4" s="62" t="s">
        <v>367</v>
      </c>
      <c r="M4" s="65" t="s">
        <v>101</v>
      </c>
      <c r="N4" s="65" t="s">
        <v>263</v>
      </c>
      <c r="O4" s="65" t="s">
        <v>263</v>
      </c>
      <c r="P4" s="65" t="s">
        <v>97</v>
      </c>
      <c r="Q4" s="66" t="s">
        <v>97</v>
      </c>
      <c r="R4" s="41"/>
    </row>
    <row r="5" spans="1:18" ht="16" x14ac:dyDescent="0.2">
      <c r="A5" s="416"/>
      <c r="B5" s="419"/>
      <c r="C5" s="148" t="s">
        <v>368</v>
      </c>
      <c r="D5" s="63" t="s">
        <v>101</v>
      </c>
      <c r="E5" s="63" t="s">
        <v>263</v>
      </c>
      <c r="F5" s="63" t="s">
        <v>263</v>
      </c>
      <c r="G5" s="63" t="s">
        <v>263</v>
      </c>
      <c r="H5" s="64" t="s">
        <v>263</v>
      </c>
      <c r="I5" s="50"/>
      <c r="J5" s="436"/>
      <c r="K5" s="422"/>
      <c r="L5" s="62" t="s">
        <v>368</v>
      </c>
      <c r="M5" s="65" t="s">
        <v>101</v>
      </c>
      <c r="N5" s="65" t="s">
        <v>263</v>
      </c>
      <c r="O5" s="65" t="s">
        <v>263</v>
      </c>
      <c r="P5" s="65" t="s">
        <v>97</v>
      </c>
      <c r="Q5" s="66" t="s">
        <v>263</v>
      </c>
      <c r="R5" s="41"/>
    </row>
    <row r="6" spans="1:18" ht="16" x14ac:dyDescent="0.2">
      <c r="A6" s="416"/>
      <c r="B6" s="419"/>
      <c r="C6" s="148" t="s">
        <v>369</v>
      </c>
      <c r="D6" s="63" t="s">
        <v>101</v>
      </c>
      <c r="E6" s="63" t="s">
        <v>263</v>
      </c>
      <c r="F6" s="63" t="s">
        <v>263</v>
      </c>
      <c r="G6" s="63" t="s">
        <v>259</v>
      </c>
      <c r="H6" s="64" t="s">
        <v>263</v>
      </c>
      <c r="I6" s="50"/>
      <c r="J6" s="436"/>
      <c r="K6" s="422"/>
      <c r="L6" s="62" t="s">
        <v>369</v>
      </c>
      <c r="M6" s="65" t="s">
        <v>101</v>
      </c>
      <c r="N6" s="65" t="s">
        <v>263</v>
      </c>
      <c r="O6" s="65" t="s">
        <v>263</v>
      </c>
      <c r="P6" s="65" t="s">
        <v>259</v>
      </c>
      <c r="Q6" s="66" t="s">
        <v>263</v>
      </c>
      <c r="R6" s="41"/>
    </row>
    <row r="7" spans="1:18" x14ac:dyDescent="0.2">
      <c r="A7" s="416"/>
      <c r="B7" s="419"/>
      <c r="C7" s="148" t="s">
        <v>95</v>
      </c>
      <c r="D7" s="439" t="s">
        <v>96</v>
      </c>
      <c r="E7" s="439"/>
      <c r="F7" s="439"/>
      <c r="G7" s="439"/>
      <c r="H7" s="440"/>
      <c r="I7" s="50"/>
      <c r="J7" s="436"/>
      <c r="K7" s="422"/>
      <c r="L7" s="62" t="s">
        <v>95</v>
      </c>
      <c r="M7" s="441" t="s">
        <v>96</v>
      </c>
      <c r="N7" s="441"/>
      <c r="O7" s="441"/>
      <c r="P7" s="441"/>
      <c r="Q7" s="442"/>
      <c r="R7" s="41"/>
    </row>
    <row r="8" spans="1:18" ht="16" x14ac:dyDescent="0.2">
      <c r="A8" s="416"/>
      <c r="B8" s="419"/>
      <c r="C8" s="148" t="s">
        <v>370</v>
      </c>
      <c r="D8" s="63" t="s">
        <v>101</v>
      </c>
      <c r="E8" s="63" t="s">
        <v>97</v>
      </c>
      <c r="F8" s="63" t="s">
        <v>263</v>
      </c>
      <c r="G8" s="63" t="s">
        <v>259</v>
      </c>
      <c r="H8" s="64" t="s">
        <v>97</v>
      </c>
      <c r="I8" s="50"/>
      <c r="J8" s="436"/>
      <c r="K8" s="422"/>
      <c r="L8" s="62" t="s">
        <v>370</v>
      </c>
      <c r="M8" s="65" t="s">
        <v>101</v>
      </c>
      <c r="N8" s="65" t="s">
        <v>97</v>
      </c>
      <c r="O8" s="65" t="s">
        <v>263</v>
      </c>
      <c r="P8" s="65" t="s">
        <v>259</v>
      </c>
      <c r="Q8" s="66" t="s">
        <v>22</v>
      </c>
      <c r="R8" s="41"/>
    </row>
    <row r="9" spans="1:18" ht="16" x14ac:dyDescent="0.2">
      <c r="A9" s="416"/>
      <c r="B9" s="419"/>
      <c r="C9" s="149" t="s">
        <v>371</v>
      </c>
      <c r="D9" s="63" t="s">
        <v>101</v>
      </c>
      <c r="E9" s="63" t="s">
        <v>99</v>
      </c>
      <c r="F9" s="63" t="s">
        <v>263</v>
      </c>
      <c r="G9" s="63" t="s">
        <v>259</v>
      </c>
      <c r="H9" s="64" t="s">
        <v>97</v>
      </c>
      <c r="I9" s="50"/>
      <c r="J9" s="436"/>
      <c r="K9" s="422"/>
      <c r="L9" s="62" t="s">
        <v>371</v>
      </c>
      <c r="M9" s="65" t="s">
        <v>101</v>
      </c>
      <c r="N9" s="65" t="s">
        <v>99</v>
      </c>
      <c r="O9" s="65" t="s">
        <v>263</v>
      </c>
      <c r="P9" s="65" t="s">
        <v>259</v>
      </c>
      <c r="Q9" s="66" t="s">
        <v>22</v>
      </c>
      <c r="R9" s="41"/>
    </row>
    <row r="10" spans="1:18" ht="16" x14ac:dyDescent="0.2">
      <c r="A10" s="416"/>
      <c r="B10" s="419"/>
      <c r="C10" s="149" t="s">
        <v>98</v>
      </c>
      <c r="D10" s="63" t="s">
        <v>101</v>
      </c>
      <c r="E10" s="63" t="s">
        <v>99</v>
      </c>
      <c r="F10" s="63" t="s">
        <v>99</v>
      </c>
      <c r="G10" s="63" t="s">
        <v>259</v>
      </c>
      <c r="H10" s="64" t="s">
        <v>99</v>
      </c>
      <c r="I10" s="50"/>
      <c r="J10" s="436"/>
      <c r="K10" s="422"/>
      <c r="L10" s="62" t="s">
        <v>98</v>
      </c>
      <c r="M10" s="65" t="s">
        <v>101</v>
      </c>
      <c r="N10" s="65" t="s">
        <v>99</v>
      </c>
      <c r="O10" s="65" t="s">
        <v>99</v>
      </c>
      <c r="P10" s="65" t="s">
        <v>259</v>
      </c>
      <c r="Q10" s="66" t="s">
        <v>99</v>
      </c>
      <c r="R10" s="41"/>
    </row>
    <row r="11" spans="1:18" x14ac:dyDescent="0.2">
      <c r="A11" s="416"/>
      <c r="B11" s="419"/>
      <c r="C11" s="148" t="s">
        <v>332</v>
      </c>
      <c r="D11" s="30">
        <v>0</v>
      </c>
      <c r="E11">
        <v>10</v>
      </c>
      <c r="F11" s="30">
        <v>10</v>
      </c>
      <c r="G11">
        <v>9</v>
      </c>
      <c r="H11" s="30">
        <v>10</v>
      </c>
      <c r="I11" s="152"/>
      <c r="J11" s="436"/>
      <c r="K11" s="422"/>
      <c r="L11" s="62" t="s">
        <v>332</v>
      </c>
      <c r="M11" s="30">
        <v>0</v>
      </c>
      <c r="N11">
        <v>15</v>
      </c>
      <c r="O11" s="30">
        <v>12</v>
      </c>
      <c r="P11">
        <v>15</v>
      </c>
      <c r="Q11" s="31">
        <v>8</v>
      </c>
      <c r="R11" s="41"/>
    </row>
    <row r="12" spans="1:18" ht="15.75" customHeight="1" x14ac:dyDescent="0.2">
      <c r="A12" s="416"/>
      <c r="B12" s="419"/>
      <c r="C12" s="150">
        <v>1600</v>
      </c>
      <c r="D12" s="439" t="s">
        <v>100</v>
      </c>
      <c r="E12" s="439"/>
      <c r="F12" s="439"/>
      <c r="G12" s="439"/>
      <c r="H12" s="443"/>
      <c r="I12" s="152"/>
      <c r="J12" s="436"/>
      <c r="K12" s="422"/>
      <c r="L12" s="62">
        <v>1600</v>
      </c>
      <c r="M12" s="441" t="s">
        <v>100</v>
      </c>
      <c r="N12" s="441"/>
      <c r="O12" s="441"/>
      <c r="P12" s="441"/>
      <c r="Q12" s="442"/>
      <c r="R12" s="41"/>
    </row>
    <row r="13" spans="1:18" ht="15" customHeight="1" x14ac:dyDescent="0.2">
      <c r="A13" s="416"/>
      <c r="B13" s="419"/>
      <c r="C13" s="149" t="s">
        <v>372</v>
      </c>
      <c r="D13" s="63" t="s">
        <v>101</v>
      </c>
      <c r="E13" s="63" t="s">
        <v>101</v>
      </c>
      <c r="F13" s="63" t="s">
        <v>101</v>
      </c>
      <c r="G13" s="63" t="s">
        <v>101</v>
      </c>
      <c r="H13" s="121" t="s">
        <v>101</v>
      </c>
      <c r="I13" s="152"/>
      <c r="J13" s="436"/>
      <c r="K13" s="438"/>
      <c r="L13" s="179" t="s">
        <v>372</v>
      </c>
      <c r="M13" s="65" t="s">
        <v>101</v>
      </c>
      <c r="N13" s="65" t="s">
        <v>101</v>
      </c>
      <c r="O13" s="65" t="s">
        <v>101</v>
      </c>
      <c r="P13" s="65" t="s">
        <v>101</v>
      </c>
      <c r="Q13" s="65" t="s">
        <v>101</v>
      </c>
      <c r="R13" s="41"/>
    </row>
    <row r="14" spans="1:18" x14ac:dyDescent="0.2">
      <c r="A14" s="416"/>
      <c r="B14" s="419"/>
      <c r="C14" s="148" t="s">
        <v>373</v>
      </c>
      <c r="D14">
        <v>0</v>
      </c>
      <c r="E14">
        <v>0</v>
      </c>
      <c r="F14">
        <v>0</v>
      </c>
      <c r="G14">
        <v>0</v>
      </c>
      <c r="H14">
        <v>0</v>
      </c>
      <c r="I14" s="152"/>
      <c r="J14" s="436"/>
      <c r="K14" s="438"/>
      <c r="L14" s="179" t="s">
        <v>373</v>
      </c>
      <c r="M14">
        <v>0</v>
      </c>
      <c r="N14">
        <v>0</v>
      </c>
      <c r="O14">
        <v>0</v>
      </c>
      <c r="P14">
        <v>0</v>
      </c>
      <c r="Q14" s="2">
        <v>0</v>
      </c>
      <c r="R14" s="41"/>
    </row>
    <row r="15" spans="1:18" ht="16" thickBot="1" x14ac:dyDescent="0.25">
      <c r="A15" s="416"/>
      <c r="B15" s="420"/>
      <c r="C15" s="151" t="s">
        <v>374</v>
      </c>
      <c r="D15">
        <v>0</v>
      </c>
      <c r="E15">
        <v>0</v>
      </c>
      <c r="F15">
        <v>0</v>
      </c>
      <c r="G15">
        <v>0</v>
      </c>
      <c r="H15">
        <v>0</v>
      </c>
      <c r="I15" s="152"/>
      <c r="J15" s="436"/>
      <c r="K15" s="423"/>
      <c r="L15" s="159" t="s">
        <v>374</v>
      </c>
      <c r="M15" s="4">
        <v>0</v>
      </c>
      <c r="N15" s="4">
        <v>0</v>
      </c>
      <c r="O15" s="4">
        <v>0</v>
      </c>
      <c r="P15" s="4">
        <v>0</v>
      </c>
      <c r="Q15" s="5">
        <v>0</v>
      </c>
      <c r="R15" s="41"/>
    </row>
    <row r="16" spans="1:18" x14ac:dyDescent="0.2">
      <c r="A16" s="416"/>
      <c r="B16" s="418" t="s">
        <v>258</v>
      </c>
      <c r="C16" s="409" t="s">
        <v>1</v>
      </c>
      <c r="D16" s="410"/>
      <c r="E16" s="411" t="s">
        <v>2</v>
      </c>
      <c r="F16" s="410"/>
      <c r="G16" s="411" t="s">
        <v>0</v>
      </c>
      <c r="H16" s="409"/>
      <c r="I16" s="155" t="s">
        <v>333</v>
      </c>
      <c r="J16" s="436"/>
      <c r="K16" s="421" t="s">
        <v>258</v>
      </c>
      <c r="L16" s="424" t="s">
        <v>1</v>
      </c>
      <c r="M16" s="425"/>
      <c r="N16" s="426" t="s">
        <v>2</v>
      </c>
      <c r="O16" s="425"/>
      <c r="P16" s="426" t="s">
        <v>0</v>
      </c>
      <c r="Q16" s="425"/>
      <c r="R16" s="157" t="s">
        <v>333</v>
      </c>
    </row>
    <row r="17" spans="1:20" x14ac:dyDescent="0.2">
      <c r="A17" s="416"/>
      <c r="B17" s="419"/>
      <c r="C17" s="122" t="s">
        <v>14</v>
      </c>
      <c r="D17" s="2"/>
      <c r="E17" s="21" t="s">
        <v>17</v>
      </c>
      <c r="F17" s="2">
        <v>40</v>
      </c>
      <c r="G17" s="21" t="s">
        <v>21</v>
      </c>
      <c r="H17">
        <v>11</v>
      </c>
      <c r="I17" s="156" t="s">
        <v>360</v>
      </c>
      <c r="J17" s="436"/>
      <c r="K17" s="422"/>
      <c r="L17" s="125" t="s">
        <v>14</v>
      </c>
      <c r="M17" s="2"/>
      <c r="N17" s="9" t="s">
        <v>17</v>
      </c>
      <c r="O17" s="2">
        <v>40</v>
      </c>
      <c r="P17" s="9" t="s">
        <v>21</v>
      </c>
      <c r="Q17" s="2">
        <v>13</v>
      </c>
      <c r="R17" s="158" t="s">
        <v>360</v>
      </c>
      <c r="T17" s="313">
        <f>'CSE CM'!J3+'CSE PM'!M3</f>
        <v>0</v>
      </c>
    </row>
    <row r="18" spans="1:20" x14ac:dyDescent="0.2">
      <c r="A18" s="416"/>
      <c r="B18" s="419"/>
      <c r="C18" s="123" t="s">
        <v>15</v>
      </c>
      <c r="D18" s="31"/>
      <c r="E18" s="22" t="s">
        <v>18</v>
      </c>
      <c r="F18" s="31">
        <v>4</v>
      </c>
      <c r="G18" s="22" t="s">
        <v>3</v>
      </c>
      <c r="H18" s="30">
        <v>8</v>
      </c>
      <c r="I18" s="307">
        <v>1</v>
      </c>
      <c r="J18" s="436"/>
      <c r="K18" s="422"/>
      <c r="L18" s="126" t="s">
        <v>15</v>
      </c>
      <c r="M18" s="31"/>
      <c r="N18" s="10" t="s">
        <v>18</v>
      </c>
      <c r="O18" s="31">
        <v>4</v>
      </c>
      <c r="P18" s="10" t="s">
        <v>3</v>
      </c>
      <c r="Q18" s="31">
        <v>9</v>
      </c>
      <c r="R18" s="307">
        <v>1</v>
      </c>
    </row>
    <row r="19" spans="1:20" x14ac:dyDescent="0.2">
      <c r="A19" s="416"/>
      <c r="B19" s="419"/>
      <c r="C19" s="123" t="s">
        <v>16</v>
      </c>
      <c r="D19" s="2"/>
      <c r="E19" s="22" t="s">
        <v>19</v>
      </c>
      <c r="F19" s="2">
        <v>10</v>
      </c>
      <c r="G19" s="22"/>
      <c r="I19" s="156" t="s">
        <v>359</v>
      </c>
      <c r="J19" s="436"/>
      <c r="K19" s="422"/>
      <c r="L19" s="126" t="s">
        <v>16</v>
      </c>
      <c r="M19" s="2"/>
      <c r="N19" s="10" t="s">
        <v>354</v>
      </c>
      <c r="O19" s="2">
        <v>11</v>
      </c>
      <c r="P19" s="10"/>
      <c r="Q19" s="2"/>
      <c r="R19" s="158" t="s">
        <v>359</v>
      </c>
    </row>
    <row r="20" spans="1:20" ht="16" thickBot="1" x14ac:dyDescent="0.25">
      <c r="A20" s="416"/>
      <c r="B20" s="419"/>
      <c r="C20" s="123" t="s">
        <v>45</v>
      </c>
      <c r="D20" s="31"/>
      <c r="E20" s="23" t="s">
        <v>20</v>
      </c>
      <c r="F20" s="33">
        <v>2</v>
      </c>
      <c r="G20" s="23"/>
      <c r="H20" s="32"/>
      <c r="I20" s="307">
        <f>1-I18</f>
        <v>0</v>
      </c>
      <c r="J20" s="436"/>
      <c r="K20" s="422"/>
      <c r="L20" s="126" t="s">
        <v>45</v>
      </c>
      <c r="M20" s="31"/>
      <c r="N20" s="11" t="s">
        <v>353</v>
      </c>
      <c r="O20" s="33">
        <v>6</v>
      </c>
      <c r="P20" s="11"/>
      <c r="Q20" s="33"/>
      <c r="R20" s="307">
        <f>1-R18</f>
        <v>0</v>
      </c>
    </row>
    <row r="21" spans="1:20" x14ac:dyDescent="0.2">
      <c r="A21" s="416"/>
      <c r="B21" s="419"/>
      <c r="C21" s="124" t="s">
        <v>41</v>
      </c>
      <c r="D21" s="129"/>
      <c r="E21" s="427"/>
      <c r="F21" s="428"/>
      <c r="G21" s="428"/>
      <c r="H21" s="428"/>
      <c r="I21" s="429"/>
      <c r="J21" s="436"/>
      <c r="K21" s="422"/>
      <c r="L21" s="126" t="s">
        <v>42</v>
      </c>
      <c r="M21" s="130"/>
      <c r="N21" s="432"/>
      <c r="O21" s="432"/>
      <c r="P21" s="432"/>
      <c r="Q21" s="432"/>
      <c r="R21" s="433"/>
    </row>
    <row r="22" spans="1:20" ht="16" thickBot="1" x14ac:dyDescent="0.25">
      <c r="A22" s="417"/>
      <c r="B22" s="420"/>
      <c r="C22" s="132" t="s">
        <v>43</v>
      </c>
      <c r="D22" s="131"/>
      <c r="E22" s="417"/>
      <c r="F22" s="430"/>
      <c r="G22" s="430"/>
      <c r="H22" s="430"/>
      <c r="I22" s="431"/>
      <c r="J22" s="437"/>
      <c r="K22" s="423"/>
      <c r="L22" s="127" t="s">
        <v>44</v>
      </c>
      <c r="M22" s="128">
        <v>10</v>
      </c>
      <c r="N22" s="434"/>
      <c r="O22" s="434"/>
      <c r="P22" s="434"/>
      <c r="Q22" s="434"/>
      <c r="R22" s="435"/>
    </row>
    <row r="27" spans="1:20" x14ac:dyDescent="0.2">
      <c r="G27" s="163"/>
      <c r="H27" s="154"/>
      <c r="I27" s="154"/>
      <c r="J27" s="154"/>
    </row>
    <row r="30" spans="1:20" x14ac:dyDescent="0.2">
      <c r="I30" s="154"/>
    </row>
  </sheetData>
  <mergeCells count="20">
    <mergeCell ref="D7:H7"/>
    <mergeCell ref="M7:Q7"/>
    <mergeCell ref="D12:H12"/>
    <mergeCell ref="M12:Q12"/>
    <mergeCell ref="C16:D16"/>
    <mergeCell ref="E16:F16"/>
    <mergeCell ref="G16:H16"/>
    <mergeCell ref="J1:Q1"/>
    <mergeCell ref="A1:H1"/>
    <mergeCell ref="A2:A22"/>
    <mergeCell ref="B2:B15"/>
    <mergeCell ref="B16:B22"/>
    <mergeCell ref="K16:K22"/>
    <mergeCell ref="L16:M16"/>
    <mergeCell ref="N16:O16"/>
    <mergeCell ref="P16:Q16"/>
    <mergeCell ref="E21:I22"/>
    <mergeCell ref="N21:R22"/>
    <mergeCell ref="J2:J22"/>
    <mergeCell ref="K2:K15"/>
  </mergeCells>
  <dataValidations count="2">
    <dataValidation type="list" allowBlank="1" showInputMessage="1" showErrorMessage="1" sqref="M13:Q13" xr:uid="{ABF8BA6D-0FF6-4CF5-8981-F03A282ED7B6}">
      <formula1>"Preventative Maintenance, Corrective Maintenance, Training, Team Event, Admin, Off, Other, Gym Time, Team Training"</formula1>
    </dataValidation>
    <dataValidation type="list" allowBlank="1" showInputMessage="1" showErrorMessage="1" sqref="D8:H10 M3:Q6 D13:H13 D3:H6 M8:Q10" xr:uid="{3C222BD4-5989-4AC7-948B-EF93F6F1F6A6}">
      <formula1>"Maintenance, Training, Team Event, Admin, Off, Other, Gym Time, Team Training"</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B67A2-19D7-4BC2-8450-C114F9A56B86}">
  <sheetPr codeName="Sheet13">
    <tabColor theme="7"/>
  </sheetPr>
  <dimension ref="A1:J499"/>
  <sheetViews>
    <sheetView workbookViewId="0">
      <selection activeCell="E26" sqref="E26"/>
    </sheetView>
  </sheetViews>
  <sheetFormatPr baseColWidth="10" defaultColWidth="8.83203125" defaultRowHeight="15" x14ac:dyDescent="0.2"/>
  <cols>
    <col min="1" max="1" width="17.83203125" bestFit="1" customWidth="1"/>
    <col min="2" max="2" width="10.6640625" customWidth="1"/>
    <col min="3" max="3" width="18.5" customWidth="1"/>
    <col min="4" max="4" width="14.1640625" customWidth="1"/>
    <col min="5" max="5" width="17.6640625" customWidth="1"/>
    <col min="6" max="6" width="18.83203125" bestFit="1" customWidth="1"/>
    <col min="7" max="7" width="30.33203125" bestFit="1" customWidth="1"/>
    <col min="8" max="8" width="27.5" bestFit="1" customWidth="1"/>
  </cols>
  <sheetData>
    <row r="1" spans="1:10" ht="16" thickBot="1" x14ac:dyDescent="0.25">
      <c r="A1" s="412" t="s">
        <v>13</v>
      </c>
      <c r="B1" s="413"/>
      <c r="C1" s="413"/>
      <c r="D1" s="413"/>
      <c r="E1" s="413"/>
      <c r="F1" s="413"/>
      <c r="G1" s="413"/>
      <c r="H1" s="444"/>
    </row>
    <row r="2" spans="1:10" ht="38" thickBot="1" x14ac:dyDescent="0.5">
      <c r="A2" s="445" t="s">
        <v>87</v>
      </c>
      <c r="B2" s="446"/>
      <c r="C2" s="446"/>
      <c r="D2" s="446"/>
      <c r="E2" s="446"/>
      <c r="F2" s="446"/>
      <c r="G2" s="446"/>
      <c r="H2" s="447"/>
    </row>
    <row r="3" spans="1:10" x14ac:dyDescent="0.2">
      <c r="A3" s="6" t="s">
        <v>79</v>
      </c>
      <c r="B3" s="8" t="s">
        <v>80</v>
      </c>
      <c r="C3" s="8" t="s">
        <v>81</v>
      </c>
      <c r="D3" s="8" t="s">
        <v>82</v>
      </c>
      <c r="E3" s="8" t="s">
        <v>83</v>
      </c>
      <c r="F3" s="8" t="s">
        <v>84</v>
      </c>
      <c r="G3" s="8" t="s">
        <v>85</v>
      </c>
      <c r="H3" s="7" t="s">
        <v>86</v>
      </c>
      <c r="J3" s="313">
        <f>SUM(H4:H23)</f>
        <v>0</v>
      </c>
    </row>
    <row r="4" spans="1:10" x14ac:dyDescent="0.2">
      <c r="A4" s="167"/>
      <c r="B4" s="56"/>
      <c r="C4" s="56"/>
      <c r="H4" s="2"/>
    </row>
    <row r="5" spans="1:10" x14ac:dyDescent="0.2">
      <c r="A5" s="1"/>
      <c r="H5" s="2"/>
    </row>
    <row r="6" spans="1:10" x14ac:dyDescent="0.2">
      <c r="A6" s="1"/>
      <c r="H6" s="2"/>
    </row>
    <row r="7" spans="1:10" x14ac:dyDescent="0.2">
      <c r="A7" s="1"/>
      <c r="H7" s="2"/>
    </row>
    <row r="8" spans="1:10" x14ac:dyDescent="0.2">
      <c r="A8" s="1"/>
      <c r="H8" s="2"/>
    </row>
    <row r="9" spans="1:10" x14ac:dyDescent="0.2">
      <c r="A9" s="1"/>
      <c r="H9" s="2"/>
    </row>
    <row r="10" spans="1:10" x14ac:dyDescent="0.2">
      <c r="A10" s="1"/>
      <c r="H10" s="2"/>
    </row>
    <row r="11" spans="1:10" x14ac:dyDescent="0.2">
      <c r="A11" s="1"/>
      <c r="H11" s="2"/>
    </row>
    <row r="12" spans="1:10" x14ac:dyDescent="0.2">
      <c r="A12" s="1"/>
      <c r="H12" s="2"/>
    </row>
    <row r="13" spans="1:10" x14ac:dyDescent="0.2">
      <c r="A13" s="1"/>
      <c r="H13" s="2"/>
    </row>
    <row r="14" spans="1:10" x14ac:dyDescent="0.2">
      <c r="A14" s="1"/>
      <c r="H14" s="2"/>
    </row>
    <row r="15" spans="1:10" x14ac:dyDescent="0.2">
      <c r="A15" s="1"/>
      <c r="H15" s="2"/>
    </row>
    <row r="16" spans="1:10" x14ac:dyDescent="0.2">
      <c r="A16" s="1"/>
      <c r="H16" s="2"/>
    </row>
    <row r="17" spans="1:8" x14ac:dyDescent="0.2">
      <c r="A17" s="1"/>
      <c r="H17" s="2"/>
    </row>
    <row r="18" spans="1:8" x14ac:dyDescent="0.2">
      <c r="A18" s="1"/>
      <c r="H18" s="2"/>
    </row>
    <row r="19" spans="1:8" x14ac:dyDescent="0.2">
      <c r="A19" s="1"/>
      <c r="H19" s="2"/>
    </row>
    <row r="20" spans="1:8" x14ac:dyDescent="0.2">
      <c r="A20" s="1"/>
      <c r="H20" s="2"/>
    </row>
    <row r="21" spans="1:8" x14ac:dyDescent="0.2">
      <c r="A21" s="1"/>
      <c r="H21" s="2"/>
    </row>
    <row r="22" spans="1:8" x14ac:dyDescent="0.2">
      <c r="A22" s="1"/>
      <c r="H22" s="2"/>
    </row>
    <row r="23" spans="1:8" x14ac:dyDescent="0.2">
      <c r="A23" s="1"/>
      <c r="H23" s="2"/>
    </row>
    <row r="24" spans="1:8" x14ac:dyDescent="0.2">
      <c r="A24" s="1"/>
      <c r="H24" s="2"/>
    </row>
    <row r="25" spans="1:8" x14ac:dyDescent="0.2">
      <c r="A25" s="1"/>
      <c r="H25" s="2"/>
    </row>
    <row r="26" spans="1:8" x14ac:dyDescent="0.2">
      <c r="A26" s="1"/>
      <c r="H26" s="2"/>
    </row>
    <row r="27" spans="1:8" x14ac:dyDescent="0.2">
      <c r="A27" s="1"/>
      <c r="H27" s="2"/>
    </row>
    <row r="28" spans="1:8" x14ac:dyDescent="0.2">
      <c r="A28" s="1"/>
      <c r="H28" s="2"/>
    </row>
    <row r="29" spans="1:8" x14ac:dyDescent="0.2">
      <c r="A29" s="1"/>
      <c r="H29" s="2"/>
    </row>
    <row r="30" spans="1:8" x14ac:dyDescent="0.2">
      <c r="A30" s="1"/>
      <c r="H30" s="2"/>
    </row>
    <row r="31" spans="1:8" x14ac:dyDescent="0.2">
      <c r="A31" s="1"/>
      <c r="H31" s="2"/>
    </row>
    <row r="32" spans="1:8" x14ac:dyDescent="0.2">
      <c r="A32" s="1"/>
      <c r="H32" s="2"/>
    </row>
    <row r="33" spans="1:8" x14ac:dyDescent="0.2">
      <c r="A33" s="1"/>
      <c r="H33" s="2"/>
    </row>
    <row r="34" spans="1:8" x14ac:dyDescent="0.2">
      <c r="A34" s="1"/>
      <c r="H34" s="2"/>
    </row>
    <row r="35" spans="1:8" x14ac:dyDescent="0.2">
      <c r="A35" s="1"/>
      <c r="H35" s="2"/>
    </row>
    <row r="36" spans="1:8" x14ac:dyDescent="0.2">
      <c r="A36" s="1"/>
      <c r="H36" s="2"/>
    </row>
    <row r="37" spans="1:8" x14ac:dyDescent="0.2">
      <c r="A37" s="1"/>
      <c r="H37" s="2"/>
    </row>
    <row r="38" spans="1:8" x14ac:dyDescent="0.2">
      <c r="A38" s="1"/>
      <c r="H38" s="2"/>
    </row>
    <row r="39" spans="1:8" x14ac:dyDescent="0.2">
      <c r="A39" s="1"/>
      <c r="H39" s="2"/>
    </row>
    <row r="40" spans="1:8" x14ac:dyDescent="0.2">
      <c r="A40" s="1"/>
      <c r="H40" s="2"/>
    </row>
    <row r="41" spans="1:8" x14ac:dyDescent="0.2">
      <c r="A41" s="1"/>
      <c r="H41" s="2"/>
    </row>
    <row r="42" spans="1:8" x14ac:dyDescent="0.2">
      <c r="A42" s="1"/>
      <c r="H42" s="2"/>
    </row>
    <row r="43" spans="1:8" x14ac:dyDescent="0.2">
      <c r="A43" s="1"/>
      <c r="H43" s="2"/>
    </row>
    <row r="44" spans="1:8" x14ac:dyDescent="0.2">
      <c r="A44" s="1"/>
      <c r="H44" s="2"/>
    </row>
    <row r="45" spans="1:8" x14ac:dyDescent="0.2">
      <c r="A45" s="1"/>
      <c r="H45" s="2"/>
    </row>
    <row r="46" spans="1:8" x14ac:dyDescent="0.2">
      <c r="A46" s="1"/>
      <c r="H46" s="2"/>
    </row>
    <row r="47" spans="1:8" x14ac:dyDescent="0.2">
      <c r="A47" s="1"/>
      <c r="H47" s="2"/>
    </row>
    <row r="48" spans="1:8" x14ac:dyDescent="0.2">
      <c r="A48" s="1"/>
      <c r="H48" s="2"/>
    </row>
    <row r="49" spans="1:8" x14ac:dyDescent="0.2">
      <c r="A49" s="1"/>
      <c r="H49" s="2"/>
    </row>
    <row r="50" spans="1:8" x14ac:dyDescent="0.2">
      <c r="A50" s="1"/>
      <c r="H50" s="2"/>
    </row>
    <row r="51" spans="1:8" x14ac:dyDescent="0.2">
      <c r="A51" s="1"/>
      <c r="H51" s="2"/>
    </row>
    <row r="52" spans="1:8" x14ac:dyDescent="0.2">
      <c r="A52" s="1"/>
      <c r="H52" s="2"/>
    </row>
    <row r="53" spans="1:8" x14ac:dyDescent="0.2">
      <c r="A53" s="1"/>
      <c r="H53" s="2"/>
    </row>
    <row r="54" spans="1:8" x14ac:dyDescent="0.2">
      <c r="A54" s="1"/>
      <c r="H54" s="2"/>
    </row>
    <row r="55" spans="1:8" x14ac:dyDescent="0.2">
      <c r="A55" s="1"/>
      <c r="H55" s="2"/>
    </row>
    <row r="56" spans="1:8" x14ac:dyDescent="0.2">
      <c r="A56" s="1"/>
      <c r="H56" s="2"/>
    </row>
    <row r="57" spans="1:8" x14ac:dyDescent="0.2">
      <c r="A57" s="1"/>
      <c r="H57" s="2"/>
    </row>
    <row r="58" spans="1:8" x14ac:dyDescent="0.2">
      <c r="A58" s="1"/>
      <c r="H58" s="2"/>
    </row>
    <row r="59" spans="1:8" x14ac:dyDescent="0.2">
      <c r="A59" s="1"/>
      <c r="H59" s="2"/>
    </row>
    <row r="60" spans="1:8" x14ac:dyDescent="0.2">
      <c r="A60" s="1"/>
      <c r="H60" s="2"/>
    </row>
    <row r="61" spans="1:8" x14ac:dyDescent="0.2">
      <c r="A61" s="1"/>
      <c r="H61" s="2"/>
    </row>
    <row r="62" spans="1:8" x14ac:dyDescent="0.2">
      <c r="A62" s="1"/>
      <c r="H62" s="2"/>
    </row>
    <row r="63" spans="1:8" x14ac:dyDescent="0.2">
      <c r="A63" s="1"/>
      <c r="H63" s="2"/>
    </row>
    <row r="64" spans="1:8" x14ac:dyDescent="0.2">
      <c r="A64" s="1"/>
      <c r="H64" s="2"/>
    </row>
    <row r="65" spans="1:8" x14ac:dyDescent="0.2">
      <c r="A65" s="1"/>
      <c r="H65" s="2"/>
    </row>
    <row r="66" spans="1:8" x14ac:dyDescent="0.2">
      <c r="A66" s="1"/>
      <c r="H66" s="2"/>
    </row>
    <row r="67" spans="1:8" x14ac:dyDescent="0.2">
      <c r="A67" s="1"/>
      <c r="H67" s="2"/>
    </row>
    <row r="68" spans="1:8" x14ac:dyDescent="0.2">
      <c r="A68" s="1"/>
      <c r="H68" s="2"/>
    </row>
    <row r="69" spans="1:8" x14ac:dyDescent="0.2">
      <c r="A69" s="1"/>
      <c r="H69" s="2"/>
    </row>
    <row r="70" spans="1:8" x14ac:dyDescent="0.2">
      <c r="A70" s="1"/>
      <c r="H70" s="2"/>
    </row>
    <row r="71" spans="1:8" x14ac:dyDescent="0.2">
      <c r="A71" s="1"/>
      <c r="H71" s="2"/>
    </row>
    <row r="72" spans="1:8" x14ac:dyDescent="0.2">
      <c r="A72" s="1"/>
      <c r="H72" s="2"/>
    </row>
    <row r="73" spans="1:8" x14ac:dyDescent="0.2">
      <c r="A73" s="1"/>
      <c r="H73" s="2"/>
    </row>
    <row r="74" spans="1:8" x14ac:dyDescent="0.2">
      <c r="A74" s="1"/>
      <c r="H74" s="2"/>
    </row>
    <row r="75" spans="1:8" x14ac:dyDescent="0.2">
      <c r="A75" s="1"/>
      <c r="H75" s="2"/>
    </row>
    <row r="76" spans="1:8" x14ac:dyDescent="0.2">
      <c r="A76" s="1"/>
      <c r="H76" s="2"/>
    </row>
    <row r="77" spans="1:8" x14ac:dyDescent="0.2">
      <c r="A77" s="1"/>
      <c r="H77" s="2"/>
    </row>
    <row r="78" spans="1:8" x14ac:dyDescent="0.2">
      <c r="A78" s="1"/>
      <c r="H78" s="2"/>
    </row>
    <row r="79" spans="1:8" x14ac:dyDescent="0.2">
      <c r="A79" s="1"/>
      <c r="H79" s="2"/>
    </row>
    <row r="80" spans="1:8" x14ac:dyDescent="0.2">
      <c r="A80" s="1"/>
      <c r="H80" s="2"/>
    </row>
    <row r="81" spans="1:8" x14ac:dyDescent="0.2">
      <c r="A81" s="1"/>
      <c r="H81" s="2"/>
    </row>
    <row r="82" spans="1:8" x14ac:dyDescent="0.2">
      <c r="A82" s="1"/>
      <c r="H82" s="2"/>
    </row>
    <row r="83" spans="1:8" x14ac:dyDescent="0.2">
      <c r="A83" s="1"/>
      <c r="H83" s="2"/>
    </row>
    <row r="84" spans="1:8" x14ac:dyDescent="0.2">
      <c r="A84" s="1"/>
      <c r="H84" s="2"/>
    </row>
    <row r="85" spans="1:8" x14ac:dyDescent="0.2">
      <c r="A85" s="1"/>
      <c r="H85" s="2"/>
    </row>
    <row r="86" spans="1:8" x14ac:dyDescent="0.2">
      <c r="A86" s="1"/>
      <c r="H86" s="2"/>
    </row>
    <row r="87" spans="1:8" x14ac:dyDescent="0.2">
      <c r="A87" s="1"/>
      <c r="H87" s="2"/>
    </row>
    <row r="88" spans="1:8" x14ac:dyDescent="0.2">
      <c r="A88" s="1"/>
      <c r="H88" s="2"/>
    </row>
    <row r="89" spans="1:8" x14ac:dyDescent="0.2">
      <c r="A89" s="1"/>
      <c r="H89" s="2"/>
    </row>
    <row r="90" spans="1:8" x14ac:dyDescent="0.2">
      <c r="A90" s="1"/>
      <c r="H90" s="2"/>
    </row>
    <row r="91" spans="1:8" x14ac:dyDescent="0.2">
      <c r="A91" s="1"/>
      <c r="H91" s="2"/>
    </row>
    <row r="92" spans="1:8" x14ac:dyDescent="0.2">
      <c r="A92" s="1"/>
      <c r="H92" s="2"/>
    </row>
    <row r="93" spans="1:8" x14ac:dyDescent="0.2">
      <c r="A93" s="1"/>
      <c r="H93" s="2"/>
    </row>
    <row r="94" spans="1:8" x14ac:dyDescent="0.2">
      <c r="A94" s="1"/>
      <c r="H94" s="2"/>
    </row>
    <row r="95" spans="1:8" x14ac:dyDescent="0.2">
      <c r="A95" s="1"/>
      <c r="H95" s="2"/>
    </row>
    <row r="96" spans="1:8" x14ac:dyDescent="0.2">
      <c r="A96" s="1"/>
      <c r="H96" s="2"/>
    </row>
    <row r="97" spans="1:8" x14ac:dyDescent="0.2">
      <c r="A97" s="1"/>
      <c r="H97" s="2"/>
    </row>
    <row r="98" spans="1:8" x14ac:dyDescent="0.2">
      <c r="A98" s="1"/>
      <c r="H98" s="2"/>
    </row>
    <row r="99" spans="1:8" x14ac:dyDescent="0.2">
      <c r="A99" s="1"/>
      <c r="H99" s="2"/>
    </row>
    <row r="100" spans="1:8" x14ac:dyDescent="0.2">
      <c r="A100" s="1"/>
      <c r="H100" s="2"/>
    </row>
    <row r="101" spans="1:8" x14ac:dyDescent="0.2">
      <c r="A101" s="1"/>
      <c r="H101" s="2"/>
    </row>
    <row r="102" spans="1:8" x14ac:dyDescent="0.2">
      <c r="A102" s="1"/>
      <c r="H102" s="2"/>
    </row>
    <row r="103" spans="1:8" x14ac:dyDescent="0.2">
      <c r="A103" s="1"/>
      <c r="H103" s="2"/>
    </row>
    <row r="104" spans="1:8" x14ac:dyDescent="0.2">
      <c r="A104" s="1"/>
      <c r="H104" s="2"/>
    </row>
    <row r="105" spans="1:8" x14ac:dyDescent="0.2">
      <c r="A105" s="1"/>
      <c r="H105" s="2"/>
    </row>
    <row r="106" spans="1:8" x14ac:dyDescent="0.2">
      <c r="A106" s="1"/>
      <c r="H106" s="2"/>
    </row>
    <row r="107" spans="1:8" x14ac:dyDescent="0.2">
      <c r="A107" s="1"/>
      <c r="H107" s="2"/>
    </row>
    <row r="108" spans="1:8" x14ac:dyDescent="0.2">
      <c r="A108" s="1"/>
      <c r="H108" s="2"/>
    </row>
    <row r="109" spans="1:8" x14ac:dyDescent="0.2">
      <c r="A109" s="1"/>
      <c r="H109" s="2"/>
    </row>
    <row r="110" spans="1:8" x14ac:dyDescent="0.2">
      <c r="A110" s="1"/>
      <c r="H110" s="2"/>
    </row>
    <row r="111" spans="1:8" x14ac:dyDescent="0.2">
      <c r="A111" s="1"/>
      <c r="H111" s="2"/>
    </row>
    <row r="112" spans="1:8" x14ac:dyDescent="0.2">
      <c r="A112" s="1"/>
      <c r="H112" s="2"/>
    </row>
    <row r="113" spans="1:8" x14ac:dyDescent="0.2">
      <c r="A113" s="1"/>
      <c r="H113" s="2"/>
    </row>
    <row r="114" spans="1:8" x14ac:dyDescent="0.2">
      <c r="A114" s="1"/>
      <c r="H114" s="2"/>
    </row>
    <row r="115" spans="1:8" x14ac:dyDescent="0.2">
      <c r="A115" s="1"/>
      <c r="H115" s="2"/>
    </row>
    <row r="116" spans="1:8" x14ac:dyDescent="0.2">
      <c r="A116" s="1"/>
      <c r="H116" s="2"/>
    </row>
    <row r="117" spans="1:8" x14ac:dyDescent="0.2">
      <c r="A117" s="1"/>
      <c r="H117" s="2"/>
    </row>
    <row r="118" spans="1:8" x14ac:dyDescent="0.2">
      <c r="A118" s="1"/>
      <c r="H118" s="2"/>
    </row>
    <row r="119" spans="1:8" x14ac:dyDescent="0.2">
      <c r="A119" s="1"/>
      <c r="H119" s="2"/>
    </row>
    <row r="120" spans="1:8" x14ac:dyDescent="0.2">
      <c r="A120" s="1"/>
      <c r="H120" s="2"/>
    </row>
    <row r="121" spans="1:8" x14ac:dyDescent="0.2">
      <c r="A121" s="1"/>
      <c r="H121" s="2"/>
    </row>
    <row r="122" spans="1:8" x14ac:dyDescent="0.2">
      <c r="A122" s="1"/>
      <c r="H122" s="2"/>
    </row>
    <row r="123" spans="1:8" x14ac:dyDescent="0.2">
      <c r="A123" s="1"/>
      <c r="H123" s="2"/>
    </row>
    <row r="124" spans="1:8" x14ac:dyDescent="0.2">
      <c r="A124" s="1"/>
      <c r="H124" s="2"/>
    </row>
    <row r="125" spans="1:8" x14ac:dyDescent="0.2">
      <c r="A125" s="1"/>
      <c r="H125" s="2"/>
    </row>
    <row r="126" spans="1:8" x14ac:dyDescent="0.2">
      <c r="A126" s="1"/>
      <c r="H126" s="2"/>
    </row>
    <row r="127" spans="1:8" x14ac:dyDescent="0.2">
      <c r="A127" s="1"/>
      <c r="H127" s="2"/>
    </row>
    <row r="128" spans="1:8" x14ac:dyDescent="0.2">
      <c r="A128" s="1"/>
      <c r="H128" s="2"/>
    </row>
    <row r="129" spans="1:8" x14ac:dyDescent="0.2">
      <c r="A129" s="1"/>
      <c r="H129" s="2"/>
    </row>
    <row r="130" spans="1:8" x14ac:dyDescent="0.2">
      <c r="A130" s="1"/>
      <c r="H130" s="2"/>
    </row>
    <row r="131" spans="1:8" x14ac:dyDescent="0.2">
      <c r="A131" s="1"/>
      <c r="H131" s="2"/>
    </row>
    <row r="132" spans="1:8" x14ac:dyDescent="0.2">
      <c r="A132" s="1"/>
      <c r="H132" s="2"/>
    </row>
    <row r="133" spans="1:8" x14ac:dyDescent="0.2">
      <c r="A133" s="1"/>
      <c r="H133" s="2"/>
    </row>
    <row r="134" spans="1:8" x14ac:dyDescent="0.2">
      <c r="A134" s="1"/>
      <c r="H134" s="2"/>
    </row>
    <row r="135" spans="1:8" x14ac:dyDescent="0.2">
      <c r="A135" s="1"/>
      <c r="H135" s="2"/>
    </row>
    <row r="136" spans="1:8" x14ac:dyDescent="0.2">
      <c r="A136" s="1"/>
      <c r="H136" s="2"/>
    </row>
    <row r="137" spans="1:8" x14ac:dyDescent="0.2">
      <c r="A137" s="1"/>
      <c r="H137" s="2"/>
    </row>
    <row r="138" spans="1:8" x14ac:dyDescent="0.2">
      <c r="A138" s="1"/>
      <c r="H138" s="2"/>
    </row>
    <row r="139" spans="1:8" x14ac:dyDescent="0.2">
      <c r="A139" s="1"/>
      <c r="H139" s="2"/>
    </row>
    <row r="140" spans="1:8" x14ac:dyDescent="0.2">
      <c r="A140" s="1"/>
      <c r="H140" s="2"/>
    </row>
    <row r="141" spans="1:8" x14ac:dyDescent="0.2">
      <c r="A141" s="1"/>
      <c r="H141" s="2"/>
    </row>
    <row r="142" spans="1:8" x14ac:dyDescent="0.2">
      <c r="A142" s="1"/>
      <c r="H142" s="2"/>
    </row>
    <row r="143" spans="1:8" x14ac:dyDescent="0.2">
      <c r="A143" s="1"/>
      <c r="H143" s="2"/>
    </row>
    <row r="144" spans="1:8" x14ac:dyDescent="0.2">
      <c r="A144" s="1"/>
      <c r="H144" s="2"/>
    </row>
    <row r="145" spans="1:8" x14ac:dyDescent="0.2">
      <c r="A145" s="1"/>
      <c r="H145" s="2"/>
    </row>
    <row r="146" spans="1:8" x14ac:dyDescent="0.2">
      <c r="A146" s="1"/>
      <c r="H146" s="2"/>
    </row>
    <row r="147" spans="1:8" x14ac:dyDescent="0.2">
      <c r="A147" s="1"/>
      <c r="H147" s="2"/>
    </row>
    <row r="148" spans="1:8" x14ac:dyDescent="0.2">
      <c r="A148" s="1"/>
      <c r="H148" s="2"/>
    </row>
    <row r="149" spans="1:8" x14ac:dyDescent="0.2">
      <c r="A149" s="1"/>
      <c r="H149" s="2"/>
    </row>
    <row r="150" spans="1:8" x14ac:dyDescent="0.2">
      <c r="A150" s="1"/>
      <c r="H150" s="2"/>
    </row>
    <row r="151" spans="1:8" x14ac:dyDescent="0.2">
      <c r="A151" s="1"/>
      <c r="H151" s="2"/>
    </row>
    <row r="152" spans="1:8" x14ac:dyDescent="0.2">
      <c r="A152" s="1"/>
      <c r="H152" s="2"/>
    </row>
    <row r="153" spans="1:8" x14ac:dyDescent="0.2">
      <c r="A153" s="1"/>
      <c r="H153" s="2"/>
    </row>
    <row r="154" spans="1:8" x14ac:dyDescent="0.2">
      <c r="A154" s="1"/>
      <c r="H154" s="2"/>
    </row>
    <row r="155" spans="1:8" x14ac:dyDescent="0.2">
      <c r="A155" s="1"/>
      <c r="H155" s="2"/>
    </row>
    <row r="156" spans="1:8" x14ac:dyDescent="0.2">
      <c r="A156" s="1"/>
      <c r="H156" s="2"/>
    </row>
    <row r="157" spans="1:8" x14ac:dyDescent="0.2">
      <c r="A157" s="1"/>
      <c r="H157" s="2"/>
    </row>
    <row r="158" spans="1:8" x14ac:dyDescent="0.2">
      <c r="A158" s="1"/>
      <c r="H158" s="2"/>
    </row>
    <row r="159" spans="1:8" x14ac:dyDescent="0.2">
      <c r="A159" s="1"/>
      <c r="H159" s="2"/>
    </row>
    <row r="160" spans="1:8" x14ac:dyDescent="0.2">
      <c r="A160" s="1"/>
      <c r="H160" s="2"/>
    </row>
    <row r="161" spans="1:8" x14ac:dyDescent="0.2">
      <c r="A161" s="1"/>
      <c r="H161" s="2"/>
    </row>
    <row r="162" spans="1:8" x14ac:dyDescent="0.2">
      <c r="A162" s="1"/>
      <c r="H162" s="2"/>
    </row>
    <row r="163" spans="1:8" x14ac:dyDescent="0.2">
      <c r="A163" s="1"/>
      <c r="H163" s="2"/>
    </row>
    <row r="164" spans="1:8" x14ac:dyDescent="0.2">
      <c r="A164" s="1"/>
      <c r="H164" s="2"/>
    </row>
    <row r="165" spans="1:8" x14ac:dyDescent="0.2">
      <c r="A165" s="1"/>
      <c r="H165" s="2"/>
    </row>
    <row r="166" spans="1:8" x14ac:dyDescent="0.2">
      <c r="A166" s="1"/>
      <c r="H166" s="2"/>
    </row>
    <row r="167" spans="1:8" x14ac:dyDescent="0.2">
      <c r="A167" s="1"/>
      <c r="H167" s="2"/>
    </row>
    <row r="168" spans="1:8" x14ac:dyDescent="0.2">
      <c r="A168" s="1"/>
      <c r="H168" s="2"/>
    </row>
    <row r="169" spans="1:8" x14ac:dyDescent="0.2">
      <c r="A169" s="1"/>
      <c r="H169" s="2"/>
    </row>
    <row r="170" spans="1:8" x14ac:dyDescent="0.2">
      <c r="A170" s="1"/>
      <c r="H170" s="2"/>
    </row>
    <row r="171" spans="1:8" x14ac:dyDescent="0.2">
      <c r="A171" s="1"/>
      <c r="H171" s="2"/>
    </row>
    <row r="172" spans="1:8" x14ac:dyDescent="0.2">
      <c r="A172" s="1"/>
      <c r="H172" s="2"/>
    </row>
    <row r="173" spans="1:8" x14ac:dyDescent="0.2">
      <c r="A173" s="1"/>
      <c r="H173" s="2"/>
    </row>
    <row r="174" spans="1:8" x14ac:dyDescent="0.2">
      <c r="A174" s="1"/>
      <c r="H174" s="2"/>
    </row>
    <row r="175" spans="1:8" x14ac:dyDescent="0.2">
      <c r="A175" s="1"/>
      <c r="H175" s="2"/>
    </row>
    <row r="176" spans="1:8" x14ac:dyDescent="0.2">
      <c r="A176" s="1"/>
      <c r="H176" s="2"/>
    </row>
    <row r="177" spans="1:8" x14ac:dyDescent="0.2">
      <c r="A177" s="1"/>
      <c r="H177" s="2"/>
    </row>
    <row r="178" spans="1:8" x14ac:dyDescent="0.2">
      <c r="A178" s="1"/>
      <c r="H178" s="2"/>
    </row>
    <row r="179" spans="1:8" x14ac:dyDescent="0.2">
      <c r="A179" s="1"/>
      <c r="H179" s="2"/>
    </row>
    <row r="180" spans="1:8" x14ac:dyDescent="0.2">
      <c r="A180" s="1"/>
      <c r="H180" s="2"/>
    </row>
    <row r="181" spans="1:8" x14ac:dyDescent="0.2">
      <c r="A181" s="1"/>
      <c r="H181" s="2"/>
    </row>
    <row r="182" spans="1:8" x14ac:dyDescent="0.2">
      <c r="A182" s="1"/>
      <c r="H182" s="2"/>
    </row>
    <row r="183" spans="1:8" x14ac:dyDescent="0.2">
      <c r="A183" s="1"/>
      <c r="H183" s="2"/>
    </row>
    <row r="184" spans="1:8" x14ac:dyDescent="0.2">
      <c r="A184" s="1"/>
      <c r="H184" s="2"/>
    </row>
    <row r="185" spans="1:8" x14ac:dyDescent="0.2">
      <c r="A185" s="1"/>
      <c r="H185" s="2"/>
    </row>
    <row r="186" spans="1:8" x14ac:dyDescent="0.2">
      <c r="A186" s="1"/>
      <c r="H186" s="2"/>
    </row>
    <row r="187" spans="1:8" x14ac:dyDescent="0.2">
      <c r="A187" s="1"/>
      <c r="H187" s="2"/>
    </row>
    <row r="188" spans="1:8" x14ac:dyDescent="0.2">
      <c r="A188" s="1"/>
      <c r="H188" s="2"/>
    </row>
    <row r="189" spans="1:8" x14ac:dyDescent="0.2">
      <c r="A189" s="1"/>
      <c r="H189" s="2"/>
    </row>
    <row r="190" spans="1:8" x14ac:dyDescent="0.2">
      <c r="A190" s="1"/>
      <c r="H190" s="2"/>
    </row>
    <row r="191" spans="1:8" x14ac:dyDescent="0.2">
      <c r="A191" s="1"/>
      <c r="H191" s="2"/>
    </row>
    <row r="192" spans="1:8" x14ac:dyDescent="0.2">
      <c r="A192" s="1"/>
      <c r="H192" s="2"/>
    </row>
    <row r="193" spans="1:8" x14ac:dyDescent="0.2">
      <c r="A193" s="1"/>
      <c r="H193" s="2"/>
    </row>
    <row r="194" spans="1:8" x14ac:dyDescent="0.2">
      <c r="A194" s="1"/>
      <c r="H194" s="2"/>
    </row>
    <row r="195" spans="1:8" x14ac:dyDescent="0.2">
      <c r="A195" s="1"/>
      <c r="H195" s="2"/>
    </row>
    <row r="196" spans="1:8" x14ac:dyDescent="0.2">
      <c r="A196" s="1"/>
      <c r="H196" s="2"/>
    </row>
    <row r="197" spans="1:8" x14ac:dyDescent="0.2">
      <c r="A197" s="1"/>
      <c r="H197" s="2"/>
    </row>
    <row r="198" spans="1:8" x14ac:dyDescent="0.2">
      <c r="A198" s="1"/>
      <c r="H198" s="2"/>
    </row>
    <row r="199" spans="1:8" x14ac:dyDescent="0.2">
      <c r="A199" s="1"/>
      <c r="H199" s="2"/>
    </row>
    <row r="200" spans="1:8" x14ac:dyDescent="0.2">
      <c r="A200" s="1"/>
      <c r="H200" s="2"/>
    </row>
    <row r="201" spans="1:8" x14ac:dyDescent="0.2">
      <c r="A201" s="1"/>
      <c r="H201" s="2"/>
    </row>
    <row r="202" spans="1:8" x14ac:dyDescent="0.2">
      <c r="A202" s="1"/>
      <c r="H202" s="2"/>
    </row>
    <row r="203" spans="1:8" x14ac:dyDescent="0.2">
      <c r="A203" s="1"/>
      <c r="H203" s="2"/>
    </row>
    <row r="204" spans="1:8" x14ac:dyDescent="0.2">
      <c r="A204" s="1"/>
      <c r="H204" s="2"/>
    </row>
    <row r="205" spans="1:8" x14ac:dyDescent="0.2">
      <c r="A205" s="1"/>
      <c r="H205" s="2"/>
    </row>
    <row r="206" spans="1:8" x14ac:dyDescent="0.2">
      <c r="A206" s="1"/>
      <c r="H206" s="2"/>
    </row>
    <row r="207" spans="1:8" x14ac:dyDescent="0.2">
      <c r="A207" s="1"/>
      <c r="H207" s="2"/>
    </row>
    <row r="208" spans="1:8" x14ac:dyDescent="0.2">
      <c r="A208" s="1"/>
      <c r="H208" s="2"/>
    </row>
    <row r="209" spans="1:8" x14ac:dyDescent="0.2">
      <c r="A209" s="1"/>
      <c r="H209" s="2"/>
    </row>
    <row r="210" spans="1:8" x14ac:dyDescent="0.2">
      <c r="A210" s="1"/>
      <c r="H210" s="2"/>
    </row>
    <row r="211" spans="1:8" x14ac:dyDescent="0.2">
      <c r="A211" s="1"/>
      <c r="H211" s="2"/>
    </row>
    <row r="212" spans="1:8" x14ac:dyDescent="0.2">
      <c r="A212" s="1"/>
      <c r="H212" s="2"/>
    </row>
    <row r="213" spans="1:8" x14ac:dyDescent="0.2">
      <c r="A213" s="1"/>
      <c r="H213" s="2"/>
    </row>
    <row r="214" spans="1:8" x14ac:dyDescent="0.2">
      <c r="A214" s="1"/>
      <c r="H214" s="2"/>
    </row>
    <row r="215" spans="1:8" x14ac:dyDescent="0.2">
      <c r="A215" s="1"/>
      <c r="H215" s="2"/>
    </row>
    <row r="216" spans="1:8" x14ac:dyDescent="0.2">
      <c r="A216" s="1"/>
      <c r="H216" s="2"/>
    </row>
    <row r="217" spans="1:8" x14ac:dyDescent="0.2">
      <c r="A217" s="1"/>
      <c r="H217" s="2"/>
    </row>
    <row r="218" spans="1:8" x14ac:dyDescent="0.2">
      <c r="A218" s="1"/>
      <c r="H218" s="2"/>
    </row>
    <row r="219" spans="1:8" x14ac:dyDescent="0.2">
      <c r="A219" s="1"/>
      <c r="H219" s="2"/>
    </row>
    <row r="220" spans="1:8" x14ac:dyDescent="0.2">
      <c r="A220" s="1"/>
      <c r="H220" s="2"/>
    </row>
    <row r="221" spans="1:8" x14ac:dyDescent="0.2">
      <c r="A221" s="1"/>
      <c r="H221" s="2"/>
    </row>
    <row r="222" spans="1:8" x14ac:dyDescent="0.2">
      <c r="A222" s="1"/>
      <c r="H222" s="2"/>
    </row>
    <row r="223" spans="1:8" x14ac:dyDescent="0.2">
      <c r="A223" s="1"/>
      <c r="H223" s="2"/>
    </row>
    <row r="224" spans="1:8" x14ac:dyDescent="0.2">
      <c r="A224" s="1"/>
      <c r="H224" s="2"/>
    </row>
    <row r="225" spans="1:8" x14ac:dyDescent="0.2">
      <c r="A225" s="1"/>
      <c r="H225" s="2"/>
    </row>
    <row r="226" spans="1:8" x14ac:dyDescent="0.2">
      <c r="A226" s="1"/>
      <c r="H226" s="2"/>
    </row>
    <row r="227" spans="1:8" x14ac:dyDescent="0.2">
      <c r="A227" s="1"/>
      <c r="H227" s="2"/>
    </row>
    <row r="228" spans="1:8" x14ac:dyDescent="0.2">
      <c r="A228" s="1"/>
      <c r="H228" s="2"/>
    </row>
    <row r="229" spans="1:8" x14ac:dyDescent="0.2">
      <c r="A229" s="1"/>
      <c r="H229" s="2"/>
    </row>
    <row r="230" spans="1:8" x14ac:dyDescent="0.2">
      <c r="A230" s="1"/>
      <c r="H230" s="2"/>
    </row>
    <row r="231" spans="1:8" x14ac:dyDescent="0.2">
      <c r="A231" s="1"/>
      <c r="H231" s="2"/>
    </row>
    <row r="232" spans="1:8" x14ac:dyDescent="0.2">
      <c r="A232" s="1"/>
      <c r="H232" s="2"/>
    </row>
    <row r="233" spans="1:8" x14ac:dyDescent="0.2">
      <c r="A233" s="1"/>
      <c r="H233" s="2"/>
    </row>
    <row r="234" spans="1:8" x14ac:dyDescent="0.2">
      <c r="A234" s="1"/>
      <c r="H234" s="2"/>
    </row>
    <row r="235" spans="1:8" x14ac:dyDescent="0.2">
      <c r="A235" s="1"/>
      <c r="H235" s="2"/>
    </row>
    <row r="236" spans="1:8" x14ac:dyDescent="0.2">
      <c r="A236" s="1"/>
      <c r="H236" s="2"/>
    </row>
    <row r="237" spans="1:8" x14ac:dyDescent="0.2">
      <c r="A237" s="1"/>
      <c r="H237" s="2"/>
    </row>
    <row r="238" spans="1:8" x14ac:dyDescent="0.2">
      <c r="A238" s="1"/>
      <c r="H238" s="2"/>
    </row>
    <row r="239" spans="1:8" x14ac:dyDescent="0.2">
      <c r="A239" s="1"/>
      <c r="H239" s="2"/>
    </row>
    <row r="240" spans="1:8" x14ac:dyDescent="0.2">
      <c r="A240" s="1"/>
      <c r="H240" s="2"/>
    </row>
    <row r="241" spans="1:8" x14ac:dyDescent="0.2">
      <c r="A241" s="1"/>
      <c r="H241" s="2"/>
    </row>
    <row r="242" spans="1:8" x14ac:dyDescent="0.2">
      <c r="A242" s="1"/>
      <c r="H242" s="2"/>
    </row>
    <row r="243" spans="1:8" x14ac:dyDescent="0.2">
      <c r="A243" s="1"/>
      <c r="H243" s="2"/>
    </row>
    <row r="244" spans="1:8" x14ac:dyDescent="0.2">
      <c r="A244" s="1"/>
      <c r="H244" s="2"/>
    </row>
    <row r="245" spans="1:8" x14ac:dyDescent="0.2">
      <c r="A245" s="1"/>
      <c r="H245" s="2"/>
    </row>
    <row r="246" spans="1:8" x14ac:dyDescent="0.2">
      <c r="A246" s="1"/>
      <c r="H246" s="2"/>
    </row>
    <row r="247" spans="1:8" x14ac:dyDescent="0.2">
      <c r="A247" s="1"/>
      <c r="H247" s="2"/>
    </row>
    <row r="248" spans="1:8" x14ac:dyDescent="0.2">
      <c r="A248" s="1"/>
      <c r="H248" s="2"/>
    </row>
    <row r="249" spans="1:8" x14ac:dyDescent="0.2">
      <c r="A249" s="1"/>
      <c r="H249" s="2"/>
    </row>
    <row r="250" spans="1:8" x14ac:dyDescent="0.2">
      <c r="A250" s="1"/>
      <c r="H250" s="2"/>
    </row>
    <row r="251" spans="1:8" x14ac:dyDescent="0.2">
      <c r="A251" s="1"/>
      <c r="H251" s="2"/>
    </row>
    <row r="252" spans="1:8" x14ac:dyDescent="0.2">
      <c r="A252" s="1"/>
      <c r="H252" s="2"/>
    </row>
    <row r="253" spans="1:8" x14ac:dyDescent="0.2">
      <c r="A253" s="1"/>
      <c r="H253" s="2"/>
    </row>
    <row r="254" spans="1:8" x14ac:dyDescent="0.2">
      <c r="A254" s="1"/>
      <c r="H254" s="2"/>
    </row>
    <row r="255" spans="1:8" x14ac:dyDescent="0.2">
      <c r="A255" s="1"/>
      <c r="H255" s="2"/>
    </row>
    <row r="256" spans="1:8" x14ac:dyDescent="0.2">
      <c r="A256" s="1"/>
      <c r="H256" s="2"/>
    </row>
    <row r="257" spans="1:8" x14ac:dyDescent="0.2">
      <c r="A257" s="1"/>
      <c r="H257" s="2"/>
    </row>
    <row r="258" spans="1:8" x14ac:dyDescent="0.2">
      <c r="A258" s="1"/>
      <c r="H258" s="2"/>
    </row>
    <row r="259" spans="1:8" x14ac:dyDescent="0.2">
      <c r="A259" s="1"/>
      <c r="H259" s="2"/>
    </row>
    <row r="260" spans="1:8" x14ac:dyDescent="0.2">
      <c r="A260" s="1"/>
      <c r="H260" s="2"/>
    </row>
    <row r="261" spans="1:8" x14ac:dyDescent="0.2">
      <c r="A261" s="1"/>
      <c r="H261" s="2"/>
    </row>
    <row r="262" spans="1:8" x14ac:dyDescent="0.2">
      <c r="A262" s="1"/>
      <c r="H262" s="2"/>
    </row>
    <row r="263" spans="1:8" x14ac:dyDescent="0.2">
      <c r="A263" s="1"/>
      <c r="H263" s="2"/>
    </row>
    <row r="264" spans="1:8" x14ac:dyDescent="0.2">
      <c r="A264" s="1"/>
      <c r="H264" s="2"/>
    </row>
    <row r="265" spans="1:8" x14ac:dyDescent="0.2">
      <c r="A265" s="1"/>
      <c r="H265" s="2"/>
    </row>
    <row r="266" spans="1:8" x14ac:dyDescent="0.2">
      <c r="A266" s="1"/>
      <c r="H266" s="2"/>
    </row>
    <row r="267" spans="1:8" x14ac:dyDescent="0.2">
      <c r="A267" s="1"/>
      <c r="H267" s="2"/>
    </row>
    <row r="268" spans="1:8" x14ac:dyDescent="0.2">
      <c r="A268" s="1"/>
      <c r="H268" s="2"/>
    </row>
    <row r="269" spans="1:8" x14ac:dyDescent="0.2">
      <c r="A269" s="1"/>
      <c r="H269" s="2"/>
    </row>
    <row r="270" spans="1:8" x14ac:dyDescent="0.2">
      <c r="A270" s="1"/>
      <c r="H270" s="2"/>
    </row>
    <row r="271" spans="1:8" x14ac:dyDescent="0.2">
      <c r="A271" s="1"/>
      <c r="H271" s="2"/>
    </row>
    <row r="272" spans="1:8" x14ac:dyDescent="0.2">
      <c r="A272" s="1"/>
      <c r="H272" s="2"/>
    </row>
    <row r="273" spans="1:8" x14ac:dyDescent="0.2">
      <c r="A273" s="1"/>
      <c r="H273" s="2"/>
    </row>
    <row r="274" spans="1:8" x14ac:dyDescent="0.2">
      <c r="A274" s="1"/>
      <c r="H274" s="2"/>
    </row>
    <row r="275" spans="1:8" x14ac:dyDescent="0.2">
      <c r="A275" s="1"/>
      <c r="H275" s="2"/>
    </row>
    <row r="276" spans="1:8" x14ac:dyDescent="0.2">
      <c r="A276" s="1"/>
      <c r="H276" s="2"/>
    </row>
    <row r="277" spans="1:8" x14ac:dyDescent="0.2">
      <c r="A277" s="1"/>
      <c r="H277" s="2"/>
    </row>
    <row r="278" spans="1:8" x14ac:dyDescent="0.2">
      <c r="A278" s="1"/>
      <c r="H278" s="2"/>
    </row>
    <row r="279" spans="1:8" x14ac:dyDescent="0.2">
      <c r="A279" s="1"/>
      <c r="H279" s="2"/>
    </row>
    <row r="280" spans="1:8" x14ac:dyDescent="0.2">
      <c r="A280" s="1"/>
      <c r="H280" s="2"/>
    </row>
    <row r="281" spans="1:8" x14ac:dyDescent="0.2">
      <c r="A281" s="1"/>
      <c r="H281" s="2"/>
    </row>
    <row r="282" spans="1:8" x14ac:dyDescent="0.2">
      <c r="A282" s="1"/>
      <c r="H282" s="2"/>
    </row>
    <row r="283" spans="1:8" x14ac:dyDescent="0.2">
      <c r="A283" s="1"/>
      <c r="H283" s="2"/>
    </row>
    <row r="284" spans="1:8" x14ac:dyDescent="0.2">
      <c r="A284" s="1"/>
      <c r="H284" s="2"/>
    </row>
    <row r="285" spans="1:8" x14ac:dyDescent="0.2">
      <c r="A285" s="1"/>
      <c r="H285" s="2"/>
    </row>
    <row r="286" spans="1:8" x14ac:dyDescent="0.2">
      <c r="A286" s="1"/>
      <c r="H286" s="2"/>
    </row>
    <row r="287" spans="1:8" x14ac:dyDescent="0.2">
      <c r="A287" s="1"/>
      <c r="H287" s="2"/>
    </row>
    <row r="288" spans="1:8" x14ac:dyDescent="0.2">
      <c r="A288" s="1"/>
      <c r="H288" s="2"/>
    </row>
    <row r="289" spans="1:8" x14ac:dyDescent="0.2">
      <c r="A289" s="1"/>
      <c r="H289" s="2"/>
    </row>
    <row r="290" spans="1:8" x14ac:dyDescent="0.2">
      <c r="A290" s="1"/>
      <c r="H290" s="2"/>
    </row>
    <row r="291" spans="1:8" x14ac:dyDescent="0.2">
      <c r="A291" s="1"/>
      <c r="H291" s="2"/>
    </row>
    <row r="292" spans="1:8" x14ac:dyDescent="0.2">
      <c r="A292" s="1"/>
      <c r="H292" s="2"/>
    </row>
    <row r="293" spans="1:8" x14ac:dyDescent="0.2">
      <c r="A293" s="1"/>
      <c r="H293" s="2"/>
    </row>
    <row r="294" spans="1:8" x14ac:dyDescent="0.2">
      <c r="A294" s="1"/>
      <c r="H294" s="2"/>
    </row>
    <row r="295" spans="1:8" x14ac:dyDescent="0.2">
      <c r="A295" s="1"/>
      <c r="H295" s="2"/>
    </row>
    <row r="296" spans="1:8" x14ac:dyDescent="0.2">
      <c r="A296" s="1"/>
      <c r="H296" s="2"/>
    </row>
    <row r="297" spans="1:8" x14ac:dyDescent="0.2">
      <c r="A297" s="1"/>
      <c r="H297" s="2"/>
    </row>
    <row r="298" spans="1:8" x14ac:dyDescent="0.2">
      <c r="A298" s="1"/>
      <c r="H298" s="2"/>
    </row>
    <row r="299" spans="1:8" x14ac:dyDescent="0.2">
      <c r="A299" s="1"/>
      <c r="H299" s="2"/>
    </row>
    <row r="300" spans="1:8" x14ac:dyDescent="0.2">
      <c r="A300" s="1"/>
      <c r="H300" s="2"/>
    </row>
    <row r="301" spans="1:8" x14ac:dyDescent="0.2">
      <c r="A301" s="1"/>
      <c r="H301" s="2"/>
    </row>
    <row r="302" spans="1:8" x14ac:dyDescent="0.2">
      <c r="A302" s="1"/>
      <c r="H302" s="2"/>
    </row>
    <row r="303" spans="1:8" x14ac:dyDescent="0.2">
      <c r="A303" s="1"/>
      <c r="H303" s="2"/>
    </row>
    <row r="304" spans="1:8" x14ac:dyDescent="0.2">
      <c r="A304" s="1"/>
      <c r="H304" s="2"/>
    </row>
    <row r="305" spans="1:8" x14ac:dyDescent="0.2">
      <c r="A305" s="1"/>
      <c r="H305" s="2"/>
    </row>
    <row r="306" spans="1:8" x14ac:dyDescent="0.2">
      <c r="A306" s="1"/>
      <c r="H306" s="2"/>
    </row>
    <row r="307" spans="1:8" x14ac:dyDescent="0.2">
      <c r="A307" s="1"/>
      <c r="H307" s="2"/>
    </row>
    <row r="308" spans="1:8" x14ac:dyDescent="0.2">
      <c r="A308" s="1"/>
      <c r="H308" s="2"/>
    </row>
    <row r="309" spans="1:8" x14ac:dyDescent="0.2">
      <c r="A309" s="1"/>
      <c r="H309" s="2"/>
    </row>
    <row r="310" spans="1:8" x14ac:dyDescent="0.2">
      <c r="A310" s="1"/>
      <c r="H310" s="2"/>
    </row>
    <row r="311" spans="1:8" x14ac:dyDescent="0.2">
      <c r="A311" s="1"/>
      <c r="H311" s="2"/>
    </row>
    <row r="312" spans="1:8" x14ac:dyDescent="0.2">
      <c r="A312" s="1"/>
      <c r="H312" s="2"/>
    </row>
    <row r="313" spans="1:8" x14ac:dyDescent="0.2">
      <c r="A313" s="1"/>
      <c r="H313" s="2"/>
    </row>
    <row r="314" spans="1:8" x14ac:dyDescent="0.2">
      <c r="A314" s="1"/>
      <c r="H314" s="2"/>
    </row>
    <row r="315" spans="1:8" x14ac:dyDescent="0.2">
      <c r="A315" s="1"/>
      <c r="H315" s="2"/>
    </row>
    <row r="316" spans="1:8" x14ac:dyDescent="0.2">
      <c r="A316" s="1"/>
      <c r="H316" s="2"/>
    </row>
    <row r="317" spans="1:8" x14ac:dyDescent="0.2">
      <c r="A317" s="1"/>
      <c r="H317" s="2"/>
    </row>
    <row r="318" spans="1:8" x14ac:dyDescent="0.2">
      <c r="A318" s="1"/>
      <c r="H318" s="2"/>
    </row>
    <row r="319" spans="1:8" x14ac:dyDescent="0.2">
      <c r="A319" s="1"/>
      <c r="H319" s="2"/>
    </row>
    <row r="320" spans="1:8" x14ac:dyDescent="0.2">
      <c r="A320" s="1"/>
      <c r="H320" s="2"/>
    </row>
    <row r="321" spans="1:8" x14ac:dyDescent="0.2">
      <c r="A321" s="1"/>
      <c r="H321" s="2"/>
    </row>
    <row r="322" spans="1:8" x14ac:dyDescent="0.2">
      <c r="A322" s="1"/>
      <c r="H322" s="2"/>
    </row>
    <row r="323" spans="1:8" x14ac:dyDescent="0.2">
      <c r="A323" s="1"/>
      <c r="H323" s="2"/>
    </row>
    <row r="324" spans="1:8" x14ac:dyDescent="0.2">
      <c r="A324" s="1"/>
      <c r="H324" s="2"/>
    </row>
    <row r="325" spans="1:8" x14ac:dyDescent="0.2">
      <c r="A325" s="1"/>
      <c r="H325" s="2"/>
    </row>
    <row r="326" spans="1:8" x14ac:dyDescent="0.2">
      <c r="A326" s="1"/>
      <c r="H326" s="2"/>
    </row>
    <row r="327" spans="1:8" x14ac:dyDescent="0.2">
      <c r="A327" s="1"/>
      <c r="H327" s="2"/>
    </row>
    <row r="328" spans="1:8" x14ac:dyDescent="0.2">
      <c r="A328" s="1"/>
      <c r="H328" s="2"/>
    </row>
    <row r="329" spans="1:8" x14ac:dyDescent="0.2">
      <c r="A329" s="1"/>
      <c r="H329" s="2"/>
    </row>
    <row r="330" spans="1:8" x14ac:dyDescent="0.2">
      <c r="A330" s="1"/>
      <c r="H330" s="2"/>
    </row>
    <row r="331" spans="1:8" x14ac:dyDescent="0.2">
      <c r="A331" s="1"/>
      <c r="H331" s="2"/>
    </row>
    <row r="332" spans="1:8" x14ac:dyDescent="0.2">
      <c r="A332" s="1"/>
      <c r="H332" s="2"/>
    </row>
    <row r="333" spans="1:8" x14ac:dyDescent="0.2">
      <c r="A333" s="1"/>
      <c r="H333" s="2"/>
    </row>
    <row r="334" spans="1:8" x14ac:dyDescent="0.2">
      <c r="A334" s="1"/>
      <c r="H334" s="2"/>
    </row>
    <row r="335" spans="1:8" x14ac:dyDescent="0.2">
      <c r="A335" s="1"/>
      <c r="H335" s="2"/>
    </row>
    <row r="336" spans="1:8" x14ac:dyDescent="0.2">
      <c r="A336" s="1"/>
      <c r="H336" s="2"/>
    </row>
    <row r="337" spans="1:8" x14ac:dyDescent="0.2">
      <c r="A337" s="1"/>
      <c r="H337" s="2"/>
    </row>
    <row r="338" spans="1:8" x14ac:dyDescent="0.2">
      <c r="A338" s="1"/>
      <c r="H338" s="2"/>
    </row>
    <row r="339" spans="1:8" x14ac:dyDescent="0.2">
      <c r="A339" s="1"/>
      <c r="H339" s="2"/>
    </row>
    <row r="340" spans="1:8" x14ac:dyDescent="0.2">
      <c r="A340" s="1"/>
      <c r="H340" s="2"/>
    </row>
    <row r="341" spans="1:8" x14ac:dyDescent="0.2">
      <c r="A341" s="1"/>
      <c r="H341" s="2"/>
    </row>
    <row r="342" spans="1:8" x14ac:dyDescent="0.2">
      <c r="A342" s="1"/>
      <c r="H342" s="2"/>
    </row>
    <row r="343" spans="1:8" x14ac:dyDescent="0.2">
      <c r="A343" s="1"/>
      <c r="H343" s="2"/>
    </row>
    <row r="344" spans="1:8" x14ac:dyDescent="0.2">
      <c r="A344" s="1"/>
      <c r="H344" s="2"/>
    </row>
    <row r="345" spans="1:8" x14ac:dyDescent="0.2">
      <c r="A345" s="1"/>
      <c r="H345" s="2"/>
    </row>
    <row r="346" spans="1:8" x14ac:dyDescent="0.2">
      <c r="A346" s="1"/>
      <c r="H346" s="2"/>
    </row>
    <row r="347" spans="1:8" x14ac:dyDescent="0.2">
      <c r="A347" s="1"/>
      <c r="H347" s="2"/>
    </row>
    <row r="348" spans="1:8" x14ac:dyDescent="0.2">
      <c r="A348" s="1"/>
      <c r="H348" s="2"/>
    </row>
    <row r="349" spans="1:8" x14ac:dyDescent="0.2">
      <c r="A349" s="1"/>
      <c r="H349" s="2"/>
    </row>
    <row r="350" spans="1:8" x14ac:dyDescent="0.2">
      <c r="A350" s="1"/>
      <c r="H350" s="2"/>
    </row>
    <row r="351" spans="1:8" x14ac:dyDescent="0.2">
      <c r="A351" s="1"/>
      <c r="H351" s="2"/>
    </row>
    <row r="352" spans="1:8" x14ac:dyDescent="0.2">
      <c r="A352" s="1"/>
      <c r="H352" s="2"/>
    </row>
    <row r="353" spans="1:8" x14ac:dyDescent="0.2">
      <c r="A353" s="1"/>
      <c r="H353" s="2"/>
    </row>
    <row r="354" spans="1:8" x14ac:dyDescent="0.2">
      <c r="A354" s="1"/>
      <c r="H354" s="2"/>
    </row>
    <row r="355" spans="1:8" x14ac:dyDescent="0.2">
      <c r="A355" s="1"/>
      <c r="H355" s="2"/>
    </row>
    <row r="356" spans="1:8" x14ac:dyDescent="0.2">
      <c r="A356" s="1"/>
      <c r="H356" s="2"/>
    </row>
    <row r="357" spans="1:8" x14ac:dyDescent="0.2">
      <c r="A357" s="1"/>
      <c r="H357" s="2"/>
    </row>
    <row r="358" spans="1:8" x14ac:dyDescent="0.2">
      <c r="A358" s="1"/>
      <c r="H358" s="2"/>
    </row>
    <row r="359" spans="1:8" x14ac:dyDescent="0.2">
      <c r="A359" s="1"/>
      <c r="H359" s="2"/>
    </row>
    <row r="360" spans="1:8" x14ac:dyDescent="0.2">
      <c r="A360" s="1"/>
      <c r="H360" s="2"/>
    </row>
    <row r="361" spans="1:8" x14ac:dyDescent="0.2">
      <c r="A361" s="1"/>
      <c r="H361" s="2"/>
    </row>
    <row r="362" spans="1:8" x14ac:dyDescent="0.2">
      <c r="A362" s="1"/>
      <c r="H362" s="2"/>
    </row>
    <row r="363" spans="1:8" x14ac:dyDescent="0.2">
      <c r="A363" s="1"/>
      <c r="H363" s="2"/>
    </row>
    <row r="364" spans="1:8" x14ac:dyDescent="0.2">
      <c r="A364" s="1"/>
      <c r="H364" s="2"/>
    </row>
    <row r="365" spans="1:8" x14ac:dyDescent="0.2">
      <c r="A365" s="1"/>
      <c r="H365" s="2"/>
    </row>
    <row r="366" spans="1:8" x14ac:dyDescent="0.2">
      <c r="A366" s="1"/>
      <c r="H366" s="2"/>
    </row>
    <row r="367" spans="1:8" x14ac:dyDescent="0.2">
      <c r="A367" s="1"/>
      <c r="H367" s="2"/>
    </row>
    <row r="368" spans="1:8" x14ac:dyDescent="0.2">
      <c r="A368" s="1"/>
      <c r="H368" s="2"/>
    </row>
    <row r="369" spans="1:8" x14ac:dyDescent="0.2">
      <c r="A369" s="1"/>
      <c r="H369" s="2"/>
    </row>
    <row r="370" spans="1:8" x14ac:dyDescent="0.2">
      <c r="A370" s="1"/>
      <c r="H370" s="2"/>
    </row>
    <row r="371" spans="1:8" x14ac:dyDescent="0.2">
      <c r="A371" s="1"/>
      <c r="H371" s="2"/>
    </row>
    <row r="372" spans="1:8" x14ac:dyDescent="0.2">
      <c r="A372" s="1"/>
      <c r="H372" s="2"/>
    </row>
    <row r="373" spans="1:8" x14ac:dyDescent="0.2">
      <c r="A373" s="1"/>
      <c r="H373" s="2"/>
    </row>
    <row r="374" spans="1:8" x14ac:dyDescent="0.2">
      <c r="A374" s="1"/>
      <c r="H374" s="2"/>
    </row>
    <row r="375" spans="1:8" x14ac:dyDescent="0.2">
      <c r="A375" s="1"/>
      <c r="H375" s="2"/>
    </row>
    <row r="376" spans="1:8" x14ac:dyDescent="0.2">
      <c r="A376" s="1"/>
      <c r="H376" s="2"/>
    </row>
    <row r="377" spans="1:8" x14ac:dyDescent="0.2">
      <c r="A377" s="1"/>
      <c r="H377" s="2"/>
    </row>
    <row r="378" spans="1:8" x14ac:dyDescent="0.2">
      <c r="A378" s="1"/>
      <c r="H378" s="2"/>
    </row>
    <row r="379" spans="1:8" x14ac:dyDescent="0.2">
      <c r="A379" s="1"/>
      <c r="H379" s="2"/>
    </row>
    <row r="380" spans="1:8" x14ac:dyDescent="0.2">
      <c r="A380" s="1"/>
      <c r="H380" s="2"/>
    </row>
    <row r="381" spans="1:8" x14ac:dyDescent="0.2">
      <c r="A381" s="1"/>
      <c r="H381" s="2"/>
    </row>
    <row r="382" spans="1:8" x14ac:dyDescent="0.2">
      <c r="A382" s="1"/>
      <c r="H382" s="2"/>
    </row>
    <row r="383" spans="1:8" x14ac:dyDescent="0.2">
      <c r="A383" s="1"/>
      <c r="H383" s="2"/>
    </row>
    <row r="384" spans="1:8" x14ac:dyDescent="0.2">
      <c r="A384" s="1"/>
      <c r="H384" s="2"/>
    </row>
    <row r="385" spans="1:8" x14ac:dyDescent="0.2">
      <c r="A385" s="1"/>
      <c r="H385" s="2"/>
    </row>
    <row r="386" spans="1:8" x14ac:dyDescent="0.2">
      <c r="A386" s="1"/>
      <c r="H386" s="2"/>
    </row>
    <row r="387" spans="1:8" x14ac:dyDescent="0.2">
      <c r="A387" s="1"/>
      <c r="H387" s="2"/>
    </row>
    <row r="388" spans="1:8" x14ac:dyDescent="0.2">
      <c r="A388" s="1"/>
      <c r="H388" s="2"/>
    </row>
    <row r="389" spans="1:8" x14ac:dyDescent="0.2">
      <c r="A389" s="1"/>
      <c r="H389" s="2"/>
    </row>
    <row r="390" spans="1:8" x14ac:dyDescent="0.2">
      <c r="A390" s="1"/>
      <c r="H390" s="2"/>
    </row>
    <row r="391" spans="1:8" x14ac:dyDescent="0.2">
      <c r="A391" s="1"/>
      <c r="H391" s="2"/>
    </row>
    <row r="392" spans="1:8" x14ac:dyDescent="0.2">
      <c r="A392" s="1"/>
      <c r="H392" s="2"/>
    </row>
    <row r="393" spans="1:8" x14ac:dyDescent="0.2">
      <c r="A393" s="1"/>
      <c r="H393" s="2"/>
    </row>
    <row r="394" spans="1:8" x14ac:dyDescent="0.2">
      <c r="A394" s="1"/>
      <c r="H394" s="2"/>
    </row>
    <row r="395" spans="1:8" x14ac:dyDescent="0.2">
      <c r="A395" s="1"/>
      <c r="H395" s="2"/>
    </row>
    <row r="396" spans="1:8" x14ac:dyDescent="0.2">
      <c r="A396" s="1"/>
      <c r="H396" s="2"/>
    </row>
    <row r="397" spans="1:8" x14ac:dyDescent="0.2">
      <c r="A397" s="1"/>
      <c r="H397" s="2"/>
    </row>
    <row r="398" spans="1:8" x14ac:dyDescent="0.2">
      <c r="A398" s="1"/>
      <c r="H398" s="2"/>
    </row>
    <row r="399" spans="1:8" x14ac:dyDescent="0.2">
      <c r="A399" s="1"/>
      <c r="H399" s="2"/>
    </row>
    <row r="400" spans="1:8" x14ac:dyDescent="0.2">
      <c r="A400" s="1"/>
      <c r="H400" s="2"/>
    </row>
    <row r="401" spans="1:8" x14ac:dyDescent="0.2">
      <c r="A401" s="1"/>
      <c r="H401" s="2">
        <v>0</v>
      </c>
    </row>
    <row r="402" spans="1:8" x14ac:dyDescent="0.2">
      <c r="A402" s="1"/>
      <c r="H402" s="2">
        <v>0</v>
      </c>
    </row>
    <row r="403" spans="1:8" x14ac:dyDescent="0.2">
      <c r="A403" s="1"/>
      <c r="H403" s="2">
        <v>0</v>
      </c>
    </row>
    <row r="404" spans="1:8" x14ac:dyDescent="0.2">
      <c r="A404" s="1"/>
      <c r="H404" s="2">
        <v>0</v>
      </c>
    </row>
    <row r="405" spans="1:8" x14ac:dyDescent="0.2">
      <c r="A405" s="1"/>
      <c r="H405" s="2">
        <v>0</v>
      </c>
    </row>
    <row r="406" spans="1:8" x14ac:dyDescent="0.2">
      <c r="A406" s="1"/>
      <c r="H406" s="2">
        <v>0</v>
      </c>
    </row>
    <row r="407" spans="1:8" x14ac:dyDescent="0.2">
      <c r="A407" s="1"/>
      <c r="H407" s="2">
        <v>0</v>
      </c>
    </row>
    <row r="408" spans="1:8" x14ac:dyDescent="0.2">
      <c r="A408" s="1"/>
      <c r="H408" s="2">
        <v>0</v>
      </c>
    </row>
    <row r="409" spans="1:8" x14ac:dyDescent="0.2">
      <c r="A409" s="1"/>
      <c r="H409" s="2">
        <v>0</v>
      </c>
    </row>
    <row r="410" spans="1:8" x14ac:dyDescent="0.2">
      <c r="A410" s="1"/>
      <c r="H410" s="2">
        <v>0</v>
      </c>
    </row>
    <row r="411" spans="1:8" x14ac:dyDescent="0.2">
      <c r="A411" s="1"/>
      <c r="H411" s="2">
        <v>0</v>
      </c>
    </row>
    <row r="412" spans="1:8" x14ac:dyDescent="0.2">
      <c r="A412" s="1"/>
      <c r="H412" s="2">
        <v>0</v>
      </c>
    </row>
    <row r="413" spans="1:8" x14ac:dyDescent="0.2">
      <c r="A413" s="1"/>
      <c r="H413" s="2">
        <v>0</v>
      </c>
    </row>
    <row r="414" spans="1:8" x14ac:dyDescent="0.2">
      <c r="A414" s="1"/>
      <c r="H414" s="2">
        <v>0</v>
      </c>
    </row>
    <row r="415" spans="1:8" x14ac:dyDescent="0.2">
      <c r="A415" s="1"/>
      <c r="H415" s="2">
        <v>0</v>
      </c>
    </row>
    <row r="416" spans="1:8" x14ac:dyDescent="0.2">
      <c r="A416" s="1"/>
      <c r="H416" s="2">
        <v>0</v>
      </c>
    </row>
    <row r="417" spans="1:8" x14ac:dyDescent="0.2">
      <c r="A417" s="1"/>
      <c r="H417" s="2">
        <v>0</v>
      </c>
    </row>
    <row r="418" spans="1:8" x14ac:dyDescent="0.2">
      <c r="A418" s="1"/>
      <c r="H418" s="2">
        <v>0</v>
      </c>
    </row>
    <row r="419" spans="1:8" x14ac:dyDescent="0.2">
      <c r="A419" s="1"/>
      <c r="H419" s="2">
        <v>0</v>
      </c>
    </row>
    <row r="420" spans="1:8" x14ac:dyDescent="0.2">
      <c r="A420" s="1"/>
      <c r="H420" s="2">
        <v>0</v>
      </c>
    </row>
    <row r="421" spans="1:8" x14ac:dyDescent="0.2">
      <c r="A421" s="1"/>
      <c r="H421" s="2">
        <v>0</v>
      </c>
    </row>
    <row r="422" spans="1:8" x14ac:dyDescent="0.2">
      <c r="A422" s="1"/>
      <c r="H422" s="2">
        <v>0</v>
      </c>
    </row>
    <row r="423" spans="1:8" x14ac:dyDescent="0.2">
      <c r="A423" s="1"/>
      <c r="H423" s="2">
        <v>0</v>
      </c>
    </row>
    <row r="424" spans="1:8" x14ac:dyDescent="0.2">
      <c r="A424" s="1"/>
      <c r="H424" s="2">
        <v>0</v>
      </c>
    </row>
    <row r="425" spans="1:8" x14ac:dyDescent="0.2">
      <c r="A425" s="1"/>
      <c r="H425" s="2">
        <v>0</v>
      </c>
    </row>
    <row r="426" spans="1:8" x14ac:dyDescent="0.2">
      <c r="A426" s="1"/>
      <c r="H426" s="2">
        <v>0</v>
      </c>
    </row>
    <row r="427" spans="1:8" x14ac:dyDescent="0.2">
      <c r="A427" s="1"/>
      <c r="H427" s="2">
        <v>0</v>
      </c>
    </row>
    <row r="428" spans="1:8" x14ac:dyDescent="0.2">
      <c r="A428" s="1"/>
      <c r="H428" s="2">
        <v>0</v>
      </c>
    </row>
    <row r="429" spans="1:8" x14ac:dyDescent="0.2">
      <c r="A429" s="1"/>
      <c r="H429" s="2">
        <v>0</v>
      </c>
    </row>
    <row r="430" spans="1:8" x14ac:dyDescent="0.2">
      <c r="A430" s="1"/>
      <c r="H430" s="2">
        <v>0</v>
      </c>
    </row>
    <row r="431" spans="1:8" x14ac:dyDescent="0.2">
      <c r="A431" s="1"/>
      <c r="H431" s="2">
        <v>0</v>
      </c>
    </row>
    <row r="432" spans="1:8" x14ac:dyDescent="0.2">
      <c r="A432" s="1"/>
      <c r="H432" s="2">
        <v>0</v>
      </c>
    </row>
    <row r="433" spans="1:8" x14ac:dyDescent="0.2">
      <c r="A433" s="1"/>
      <c r="H433" s="2">
        <v>0</v>
      </c>
    </row>
    <row r="434" spans="1:8" x14ac:dyDescent="0.2">
      <c r="A434" s="1"/>
      <c r="H434" s="2">
        <v>0</v>
      </c>
    </row>
    <row r="435" spans="1:8" x14ac:dyDescent="0.2">
      <c r="A435" s="1"/>
      <c r="H435" s="2">
        <v>0</v>
      </c>
    </row>
    <row r="436" spans="1:8" x14ac:dyDescent="0.2">
      <c r="A436" s="1"/>
      <c r="H436" s="2">
        <v>0</v>
      </c>
    </row>
    <row r="437" spans="1:8" x14ac:dyDescent="0.2">
      <c r="A437" s="1"/>
      <c r="H437" s="2">
        <v>0</v>
      </c>
    </row>
    <row r="438" spans="1:8" x14ac:dyDescent="0.2">
      <c r="A438" s="1"/>
      <c r="H438" s="2">
        <v>0</v>
      </c>
    </row>
    <row r="439" spans="1:8" x14ac:dyDescent="0.2">
      <c r="A439" s="1"/>
      <c r="H439" s="2">
        <v>0</v>
      </c>
    </row>
    <row r="440" spans="1:8" x14ac:dyDescent="0.2">
      <c r="A440" s="1"/>
      <c r="H440" s="2">
        <v>0</v>
      </c>
    </row>
    <row r="441" spans="1:8" x14ac:dyDescent="0.2">
      <c r="A441" s="1"/>
      <c r="H441" s="2">
        <v>0</v>
      </c>
    </row>
    <row r="442" spans="1:8" x14ac:dyDescent="0.2">
      <c r="A442" s="1"/>
      <c r="H442" s="2">
        <v>0</v>
      </c>
    </row>
    <row r="443" spans="1:8" x14ac:dyDescent="0.2">
      <c r="A443" s="1"/>
      <c r="H443" s="2">
        <v>0</v>
      </c>
    </row>
    <row r="444" spans="1:8" x14ac:dyDescent="0.2">
      <c r="A444" s="1"/>
      <c r="H444" s="2">
        <v>0</v>
      </c>
    </row>
    <row r="445" spans="1:8" x14ac:dyDescent="0.2">
      <c r="A445" s="1"/>
      <c r="H445" s="2">
        <v>0</v>
      </c>
    </row>
    <row r="446" spans="1:8" x14ac:dyDescent="0.2">
      <c r="A446" s="1"/>
      <c r="H446" s="2">
        <v>0</v>
      </c>
    </row>
    <row r="447" spans="1:8" x14ac:dyDescent="0.2">
      <c r="A447" s="1"/>
      <c r="H447" s="2">
        <v>0</v>
      </c>
    </row>
    <row r="448" spans="1:8" x14ac:dyDescent="0.2">
      <c r="A448" s="1"/>
      <c r="H448" s="2">
        <v>0</v>
      </c>
    </row>
    <row r="449" spans="1:8" x14ac:dyDescent="0.2">
      <c r="A449" s="1"/>
      <c r="H449" s="2">
        <v>0</v>
      </c>
    </row>
    <row r="450" spans="1:8" x14ac:dyDescent="0.2">
      <c r="A450" s="1"/>
      <c r="H450" s="2">
        <v>0</v>
      </c>
    </row>
    <row r="451" spans="1:8" x14ac:dyDescent="0.2">
      <c r="A451" s="1"/>
      <c r="H451" s="2">
        <v>0</v>
      </c>
    </row>
    <row r="452" spans="1:8" x14ac:dyDescent="0.2">
      <c r="A452" s="1"/>
      <c r="H452" s="2">
        <v>0</v>
      </c>
    </row>
    <row r="453" spans="1:8" x14ac:dyDescent="0.2">
      <c r="A453" s="1"/>
      <c r="H453" s="2">
        <v>0</v>
      </c>
    </row>
    <row r="454" spans="1:8" x14ac:dyDescent="0.2">
      <c r="A454" s="1"/>
      <c r="H454" s="2">
        <v>0</v>
      </c>
    </row>
    <row r="455" spans="1:8" x14ac:dyDescent="0.2">
      <c r="A455" s="1"/>
      <c r="H455" s="2">
        <v>0</v>
      </c>
    </row>
    <row r="456" spans="1:8" x14ac:dyDescent="0.2">
      <c r="A456" s="1"/>
      <c r="H456" s="2">
        <v>0</v>
      </c>
    </row>
    <row r="457" spans="1:8" x14ac:dyDescent="0.2">
      <c r="A457" s="1"/>
      <c r="H457" s="2">
        <v>0</v>
      </c>
    </row>
    <row r="458" spans="1:8" x14ac:dyDescent="0.2">
      <c r="A458" s="1"/>
      <c r="H458" s="2">
        <v>0</v>
      </c>
    </row>
    <row r="459" spans="1:8" x14ac:dyDescent="0.2">
      <c r="A459" s="1"/>
      <c r="H459" s="2">
        <v>0</v>
      </c>
    </row>
    <row r="460" spans="1:8" x14ac:dyDescent="0.2">
      <c r="A460" s="1"/>
      <c r="H460" s="2">
        <v>0</v>
      </c>
    </row>
    <row r="461" spans="1:8" x14ac:dyDescent="0.2">
      <c r="A461" s="1"/>
      <c r="H461" s="2">
        <v>0</v>
      </c>
    </row>
    <row r="462" spans="1:8" x14ac:dyDescent="0.2">
      <c r="A462" s="1"/>
      <c r="H462" s="2">
        <v>0</v>
      </c>
    </row>
    <row r="463" spans="1:8" x14ac:dyDescent="0.2">
      <c r="A463" s="1"/>
      <c r="H463" s="2">
        <v>0</v>
      </c>
    </row>
    <row r="464" spans="1:8" x14ac:dyDescent="0.2">
      <c r="A464" s="1"/>
      <c r="H464" s="2">
        <v>0</v>
      </c>
    </row>
    <row r="465" spans="1:8" x14ac:dyDescent="0.2">
      <c r="A465" s="1"/>
      <c r="H465" s="2">
        <v>0</v>
      </c>
    </row>
    <row r="466" spans="1:8" x14ac:dyDescent="0.2">
      <c r="A466" s="1"/>
      <c r="H466" s="2">
        <v>0</v>
      </c>
    </row>
    <row r="467" spans="1:8" x14ac:dyDescent="0.2">
      <c r="A467" s="1"/>
      <c r="H467" s="2">
        <v>0</v>
      </c>
    </row>
    <row r="468" spans="1:8" x14ac:dyDescent="0.2">
      <c r="A468" s="1"/>
      <c r="H468" s="2">
        <v>0</v>
      </c>
    </row>
    <row r="469" spans="1:8" x14ac:dyDescent="0.2">
      <c r="A469" s="1"/>
      <c r="H469" s="2">
        <v>0</v>
      </c>
    </row>
    <row r="470" spans="1:8" x14ac:dyDescent="0.2">
      <c r="A470" s="1"/>
      <c r="H470" s="2">
        <v>0</v>
      </c>
    </row>
    <row r="471" spans="1:8" x14ac:dyDescent="0.2">
      <c r="A471" s="1"/>
      <c r="H471" s="2">
        <v>0</v>
      </c>
    </row>
    <row r="472" spans="1:8" x14ac:dyDescent="0.2">
      <c r="A472" s="1"/>
      <c r="H472" s="2">
        <v>0</v>
      </c>
    </row>
    <row r="473" spans="1:8" x14ac:dyDescent="0.2">
      <c r="A473" s="1"/>
      <c r="H473" s="2">
        <v>0</v>
      </c>
    </row>
    <row r="474" spans="1:8" x14ac:dyDescent="0.2">
      <c r="A474" s="1"/>
      <c r="H474" s="2">
        <v>0</v>
      </c>
    </row>
    <row r="475" spans="1:8" x14ac:dyDescent="0.2">
      <c r="A475" s="1"/>
      <c r="H475" s="2">
        <v>0</v>
      </c>
    </row>
    <row r="476" spans="1:8" x14ac:dyDescent="0.2">
      <c r="A476" s="1"/>
      <c r="H476" s="2">
        <v>0</v>
      </c>
    </row>
    <row r="477" spans="1:8" x14ac:dyDescent="0.2">
      <c r="A477" s="1"/>
      <c r="H477" s="2">
        <v>0</v>
      </c>
    </row>
    <row r="478" spans="1:8" x14ac:dyDescent="0.2">
      <c r="A478" s="1"/>
      <c r="H478" s="2">
        <v>0</v>
      </c>
    </row>
    <row r="479" spans="1:8" x14ac:dyDescent="0.2">
      <c r="A479" s="1"/>
      <c r="H479" s="2">
        <v>0</v>
      </c>
    </row>
    <row r="480" spans="1:8" x14ac:dyDescent="0.2">
      <c r="A480" s="1"/>
      <c r="H480" s="2">
        <v>0</v>
      </c>
    </row>
    <row r="481" spans="1:8" x14ac:dyDescent="0.2">
      <c r="A481" s="1"/>
      <c r="H481" s="2">
        <v>0</v>
      </c>
    </row>
    <row r="482" spans="1:8" x14ac:dyDescent="0.2">
      <c r="A482" s="1"/>
      <c r="H482" s="2">
        <v>0</v>
      </c>
    </row>
    <row r="483" spans="1:8" x14ac:dyDescent="0.2">
      <c r="A483" s="1"/>
      <c r="H483" s="2">
        <v>0</v>
      </c>
    </row>
    <row r="484" spans="1:8" x14ac:dyDescent="0.2">
      <c r="A484" s="1"/>
      <c r="H484" s="2">
        <v>0</v>
      </c>
    </row>
    <row r="485" spans="1:8" x14ac:dyDescent="0.2">
      <c r="A485" s="1"/>
      <c r="H485" s="2">
        <v>0</v>
      </c>
    </row>
    <row r="486" spans="1:8" x14ac:dyDescent="0.2">
      <c r="A486" s="1"/>
      <c r="H486" s="2">
        <v>0</v>
      </c>
    </row>
    <row r="487" spans="1:8" x14ac:dyDescent="0.2">
      <c r="A487" s="1"/>
      <c r="H487" s="2">
        <v>0</v>
      </c>
    </row>
    <row r="488" spans="1:8" x14ac:dyDescent="0.2">
      <c r="A488" s="1"/>
      <c r="H488" s="2">
        <v>0</v>
      </c>
    </row>
    <row r="489" spans="1:8" x14ac:dyDescent="0.2">
      <c r="A489" s="1"/>
      <c r="H489" s="2">
        <v>0</v>
      </c>
    </row>
    <row r="490" spans="1:8" x14ac:dyDescent="0.2">
      <c r="A490" s="1"/>
      <c r="H490" s="2">
        <v>0</v>
      </c>
    </row>
    <row r="491" spans="1:8" x14ac:dyDescent="0.2">
      <c r="A491" s="1"/>
      <c r="H491" s="2">
        <v>0</v>
      </c>
    </row>
    <row r="492" spans="1:8" x14ac:dyDescent="0.2">
      <c r="A492" s="1"/>
      <c r="H492" s="2">
        <v>0</v>
      </c>
    </row>
    <row r="493" spans="1:8" x14ac:dyDescent="0.2">
      <c r="A493" s="1"/>
      <c r="H493" s="2">
        <v>0</v>
      </c>
    </row>
    <row r="494" spans="1:8" x14ac:dyDescent="0.2">
      <c r="A494" s="1"/>
      <c r="H494" s="2">
        <v>0</v>
      </c>
    </row>
    <row r="495" spans="1:8" x14ac:dyDescent="0.2">
      <c r="A495" s="1"/>
      <c r="H495" s="2">
        <v>0</v>
      </c>
    </row>
    <row r="496" spans="1:8" x14ac:dyDescent="0.2">
      <c r="A496" s="1"/>
      <c r="H496" s="2">
        <v>0</v>
      </c>
    </row>
    <row r="497" spans="1:8" x14ac:dyDescent="0.2">
      <c r="A497" s="1"/>
      <c r="H497" s="2">
        <v>0</v>
      </c>
    </row>
    <row r="498" spans="1:8" x14ac:dyDescent="0.2">
      <c r="A498" s="1"/>
      <c r="H498" s="2">
        <v>0</v>
      </c>
    </row>
    <row r="499" spans="1:8" ht="16" thickBot="1" x14ac:dyDescent="0.25">
      <c r="A499" s="3"/>
      <c r="B499" s="4"/>
      <c r="C499" s="4"/>
      <c r="D499" s="4"/>
      <c r="E499" s="4"/>
      <c r="F499" s="4"/>
      <c r="G499" s="4"/>
      <c r="H499" s="5">
        <v>0</v>
      </c>
    </row>
  </sheetData>
  <mergeCells count="2">
    <mergeCell ref="A1:H1"/>
    <mergeCell ref="A2:H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995E0-D6B1-46D4-9208-EA95CAD47C6A}">
  <sheetPr codeName="Sheet12">
    <tabColor theme="7"/>
  </sheetPr>
  <dimension ref="A1:CS500"/>
  <sheetViews>
    <sheetView topLeftCell="C1" zoomScale="76" zoomScaleNormal="76" workbookViewId="0">
      <selection activeCell="O30" sqref="O30"/>
    </sheetView>
  </sheetViews>
  <sheetFormatPr baseColWidth="10" defaultColWidth="8.83203125" defaultRowHeight="15" x14ac:dyDescent="0.2"/>
  <cols>
    <col min="1" max="1" width="14.5" customWidth="1"/>
    <col min="2" max="2" width="14.5" bestFit="1" customWidth="1"/>
    <col min="3" max="3" width="41.5" bestFit="1" customWidth="1"/>
    <col min="4" max="4" width="13.33203125" bestFit="1" customWidth="1"/>
    <col min="5" max="5" width="13.33203125" customWidth="1"/>
    <col min="6" max="6" width="17.33203125" bestFit="1" customWidth="1"/>
    <col min="7" max="7" width="15.1640625" bestFit="1" customWidth="1"/>
    <col min="8" max="8" width="23.6640625" bestFit="1" customWidth="1"/>
    <col min="9" max="9" width="17.5" bestFit="1" customWidth="1"/>
    <col min="10" max="10" width="20.83203125" bestFit="1" customWidth="1"/>
    <col min="12" max="12" width="9.6640625" bestFit="1" customWidth="1"/>
  </cols>
  <sheetData>
    <row r="1" spans="1:13" ht="16" thickBot="1" x14ac:dyDescent="0.25">
      <c r="A1" s="448" t="s">
        <v>13</v>
      </c>
      <c r="B1" s="448"/>
      <c r="C1" s="448"/>
      <c r="D1" s="448"/>
      <c r="E1" s="448"/>
      <c r="F1" s="448"/>
      <c r="G1" s="448"/>
      <c r="H1" s="448"/>
      <c r="I1" s="448"/>
      <c r="J1" s="448"/>
      <c r="K1" s="448"/>
    </row>
    <row r="2" spans="1:13" ht="38" thickBot="1" x14ac:dyDescent="0.5">
      <c r="A2" s="449" t="s">
        <v>76</v>
      </c>
      <c r="B2" s="449"/>
      <c r="C2" s="449"/>
      <c r="D2" s="449"/>
      <c r="E2" s="449"/>
      <c r="F2" s="449"/>
      <c r="G2" s="449"/>
      <c r="H2" s="449"/>
      <c r="I2" s="449"/>
      <c r="J2" s="449"/>
      <c r="K2" s="449"/>
    </row>
    <row r="3" spans="1:13" ht="16" thickBot="1" x14ac:dyDescent="0.25">
      <c r="A3" s="450" t="s">
        <v>77</v>
      </c>
      <c r="B3" s="450"/>
      <c r="C3" s="450"/>
      <c r="D3" s="450"/>
      <c r="E3" s="450"/>
      <c r="F3" s="450"/>
      <c r="G3" s="450"/>
      <c r="H3" s="451" t="s">
        <v>78</v>
      </c>
      <c r="I3" s="451"/>
      <c r="J3" s="450" t="s">
        <v>131</v>
      </c>
      <c r="K3" s="450"/>
      <c r="M3" s="313">
        <f>SUM(J43:J69)</f>
        <v>0</v>
      </c>
    </row>
    <row r="4" spans="1:13" ht="16" thickBot="1" x14ac:dyDescent="0.25">
      <c r="A4" s="273" t="s">
        <v>66</v>
      </c>
      <c r="B4" s="273" t="s">
        <v>67</v>
      </c>
      <c r="C4" s="273" t="s">
        <v>68</v>
      </c>
      <c r="D4" s="273" t="s">
        <v>69</v>
      </c>
      <c r="E4" s="273" t="s">
        <v>70</v>
      </c>
      <c r="F4" s="273" t="s">
        <v>71</v>
      </c>
      <c r="G4" s="273" t="s">
        <v>72</v>
      </c>
      <c r="H4" s="273" t="s">
        <v>65</v>
      </c>
      <c r="I4" s="273" t="s">
        <v>73</v>
      </c>
      <c r="J4" s="273" t="s">
        <v>74</v>
      </c>
      <c r="K4" s="273" t="s">
        <v>75</v>
      </c>
    </row>
    <row r="5" spans="1:13" ht="17" thickBot="1" x14ac:dyDescent="0.25">
      <c r="A5" s="167">
        <v>823094223</v>
      </c>
      <c r="B5" s="167">
        <v>6104217</v>
      </c>
      <c r="C5" s="288" t="s">
        <v>398</v>
      </c>
      <c r="D5" s="167" t="s">
        <v>399</v>
      </c>
      <c r="E5" s="167" t="s">
        <v>400</v>
      </c>
      <c r="F5" s="167">
        <v>2</v>
      </c>
      <c r="G5" s="167">
        <v>1</v>
      </c>
      <c r="H5" s="167" t="s">
        <v>32</v>
      </c>
      <c r="I5" s="167">
        <v>3</v>
      </c>
      <c r="J5" s="274">
        <v>3</v>
      </c>
      <c r="K5" s="274" t="s">
        <v>422</v>
      </c>
      <c r="L5" s="184"/>
    </row>
    <row r="6" spans="1:13" ht="17" thickBot="1" x14ac:dyDescent="0.25">
      <c r="A6" s="167">
        <v>832088106</v>
      </c>
      <c r="B6" s="167">
        <v>16099693</v>
      </c>
      <c r="C6" s="288" t="s">
        <v>401</v>
      </c>
      <c r="D6" s="167" t="s">
        <v>402</v>
      </c>
      <c r="E6" s="167" t="s">
        <v>400</v>
      </c>
      <c r="F6" s="167">
        <v>8</v>
      </c>
      <c r="G6" s="167">
        <v>4</v>
      </c>
      <c r="H6" s="172" t="s">
        <v>33</v>
      </c>
      <c r="I6" s="167">
        <v>3</v>
      </c>
      <c r="J6" s="274">
        <v>12</v>
      </c>
      <c r="K6" s="274" t="s">
        <v>422</v>
      </c>
      <c r="L6" s="184"/>
    </row>
    <row r="7" spans="1:13" ht="17" thickBot="1" x14ac:dyDescent="0.25">
      <c r="A7" s="167">
        <v>832088107</v>
      </c>
      <c r="B7" s="167">
        <v>16099733</v>
      </c>
      <c r="C7" s="288" t="s">
        <v>419</v>
      </c>
      <c r="D7" s="167" t="s">
        <v>399</v>
      </c>
      <c r="E7" s="167" t="s">
        <v>406</v>
      </c>
      <c r="F7" s="167">
        <v>5.5</v>
      </c>
      <c r="G7" s="167">
        <v>0</v>
      </c>
      <c r="H7" s="172" t="s">
        <v>33</v>
      </c>
      <c r="I7" s="167">
        <v>0</v>
      </c>
      <c r="J7" s="274">
        <v>0</v>
      </c>
      <c r="K7" s="274" t="s">
        <v>422</v>
      </c>
      <c r="L7" s="184"/>
    </row>
    <row r="8" spans="1:13" ht="17" thickBot="1" x14ac:dyDescent="0.25">
      <c r="A8" s="167">
        <v>832088108</v>
      </c>
      <c r="B8" s="167">
        <v>16099695</v>
      </c>
      <c r="C8" s="288" t="s">
        <v>419</v>
      </c>
      <c r="D8" s="167" t="s">
        <v>399</v>
      </c>
      <c r="E8" s="167" t="s">
        <v>406</v>
      </c>
      <c r="F8" s="167">
        <v>5.5</v>
      </c>
      <c r="G8" s="167">
        <v>1</v>
      </c>
      <c r="H8" s="172" t="s">
        <v>33</v>
      </c>
      <c r="I8" s="167">
        <v>4</v>
      </c>
      <c r="J8" s="274">
        <v>4</v>
      </c>
      <c r="K8" s="274" t="s">
        <v>422</v>
      </c>
      <c r="L8" s="184"/>
    </row>
    <row r="9" spans="1:13" ht="17" thickBot="1" x14ac:dyDescent="0.25">
      <c r="A9" s="167">
        <v>832088146</v>
      </c>
      <c r="B9" s="167">
        <v>16099733</v>
      </c>
      <c r="C9" s="288" t="s">
        <v>420</v>
      </c>
      <c r="D9" s="167" t="s">
        <v>399</v>
      </c>
      <c r="E9" s="167" t="s">
        <v>400</v>
      </c>
      <c r="F9" s="167">
        <v>2</v>
      </c>
      <c r="G9" s="167">
        <v>1</v>
      </c>
      <c r="H9" s="172" t="s">
        <v>33</v>
      </c>
      <c r="I9" s="167">
        <v>4</v>
      </c>
      <c r="J9" s="274">
        <v>4</v>
      </c>
      <c r="K9" s="274" t="s">
        <v>422</v>
      </c>
      <c r="L9" s="184"/>
    </row>
    <row r="10" spans="1:13" ht="17" thickBot="1" x14ac:dyDescent="0.25">
      <c r="A10" s="167">
        <v>832088415</v>
      </c>
      <c r="B10" s="167">
        <v>16100026</v>
      </c>
      <c r="C10" s="288" t="s">
        <v>421</v>
      </c>
      <c r="D10" s="167" t="s">
        <v>399</v>
      </c>
      <c r="E10" s="167" t="s">
        <v>406</v>
      </c>
      <c r="F10" s="167">
        <v>1</v>
      </c>
      <c r="G10" s="167">
        <v>1</v>
      </c>
      <c r="H10" s="172" t="s">
        <v>33</v>
      </c>
      <c r="I10" s="167">
        <v>4</v>
      </c>
      <c r="J10" s="274">
        <v>4</v>
      </c>
      <c r="K10" s="274" t="s">
        <v>422</v>
      </c>
      <c r="L10" s="184"/>
    </row>
    <row r="11" spans="1:13" ht="16" thickBot="1" x14ac:dyDescent="0.25">
      <c r="A11" s="274"/>
      <c r="B11" s="274"/>
      <c r="C11" s="274"/>
      <c r="D11" s="274"/>
      <c r="E11" s="274"/>
      <c r="F11" s="274"/>
      <c r="G11" s="274"/>
      <c r="H11" s="274"/>
      <c r="I11" s="274"/>
      <c r="J11" s="274"/>
      <c r="K11" s="274"/>
      <c r="L11" s="184"/>
    </row>
    <row r="12" spans="1:13" ht="16" thickBot="1" x14ac:dyDescent="0.25">
      <c r="A12" s="274"/>
      <c r="B12" s="274"/>
      <c r="C12" s="274"/>
      <c r="D12" s="274"/>
      <c r="E12" s="274"/>
      <c r="F12" s="274"/>
      <c r="G12" s="274"/>
      <c r="H12" s="274"/>
      <c r="I12" s="274"/>
      <c r="J12" s="274"/>
      <c r="K12" s="274"/>
      <c r="L12" s="184"/>
    </row>
    <row r="13" spans="1:13" ht="16" thickBot="1" x14ac:dyDescent="0.25">
      <c r="A13" s="274"/>
      <c r="B13" s="274"/>
      <c r="C13" s="274"/>
      <c r="D13" s="274"/>
      <c r="E13" s="274"/>
      <c r="F13" s="274"/>
      <c r="G13" s="274"/>
      <c r="H13" s="274"/>
      <c r="I13" s="274"/>
      <c r="J13" s="274"/>
      <c r="K13" s="274"/>
      <c r="L13" s="184"/>
    </row>
    <row r="14" spans="1:13" ht="16" thickBot="1" x14ac:dyDescent="0.25">
      <c r="A14" s="274"/>
      <c r="B14" s="274"/>
      <c r="C14" s="274"/>
      <c r="D14" s="274"/>
      <c r="E14" s="274"/>
      <c r="F14" s="274"/>
      <c r="G14" s="274"/>
      <c r="H14" s="274"/>
      <c r="I14" s="274"/>
      <c r="J14" s="274"/>
      <c r="K14" s="274"/>
      <c r="L14" s="184"/>
    </row>
    <row r="15" spans="1:13" ht="16" thickBot="1" x14ac:dyDescent="0.25">
      <c r="A15" s="274"/>
      <c r="B15" s="274"/>
      <c r="C15" s="274"/>
      <c r="D15" s="274"/>
      <c r="E15" s="274"/>
      <c r="F15" s="274"/>
      <c r="G15" s="274"/>
      <c r="H15" s="274"/>
      <c r="I15" s="274"/>
      <c r="J15" s="274"/>
      <c r="K15" s="274"/>
      <c r="L15" s="184"/>
    </row>
    <row r="16" spans="1:13" ht="16" thickBot="1" x14ac:dyDescent="0.25">
      <c r="A16" s="274"/>
      <c r="B16" s="274"/>
      <c r="C16" s="274"/>
      <c r="D16" s="274"/>
      <c r="E16" s="274"/>
      <c r="F16" s="274"/>
      <c r="G16" s="274"/>
      <c r="H16" s="274"/>
      <c r="I16" s="274"/>
      <c r="J16" s="274"/>
      <c r="K16" s="274"/>
      <c r="L16" s="184"/>
    </row>
    <row r="17" spans="1:12" ht="16" thickBot="1" x14ac:dyDescent="0.25">
      <c r="A17" s="274"/>
      <c r="B17" s="274"/>
      <c r="C17" s="274"/>
      <c r="D17" s="274"/>
      <c r="E17" s="274"/>
      <c r="F17" s="274"/>
      <c r="G17" s="274"/>
      <c r="H17" s="274"/>
      <c r="I17" s="274"/>
      <c r="J17" s="274"/>
      <c r="K17" s="274"/>
      <c r="L17" s="184"/>
    </row>
    <row r="18" spans="1:12" ht="16" thickBot="1" x14ac:dyDescent="0.25">
      <c r="A18" s="274"/>
      <c r="B18" s="274"/>
      <c r="C18" s="274"/>
      <c r="D18" s="274"/>
      <c r="E18" s="274"/>
      <c r="F18" s="274"/>
      <c r="G18" s="274"/>
      <c r="H18" s="274"/>
      <c r="I18" s="274"/>
      <c r="J18" s="274"/>
      <c r="K18" s="274"/>
      <c r="L18" s="184"/>
    </row>
    <row r="19" spans="1:12" ht="16" thickBot="1" x14ac:dyDescent="0.25">
      <c r="A19" s="274"/>
      <c r="B19" s="274"/>
      <c r="C19" s="274"/>
      <c r="D19" s="274"/>
      <c r="E19" s="274"/>
      <c r="F19" s="274"/>
      <c r="G19" s="274"/>
      <c r="H19" s="274"/>
      <c r="I19" s="274"/>
      <c r="J19" s="274"/>
      <c r="K19" s="274"/>
      <c r="L19" s="184"/>
    </row>
    <row r="20" spans="1:12" ht="16" thickBot="1" x14ac:dyDescent="0.25">
      <c r="A20" s="274"/>
      <c r="B20" s="274"/>
      <c r="C20" s="274"/>
      <c r="D20" s="274"/>
      <c r="E20" s="274"/>
      <c r="F20" s="274"/>
      <c r="G20" s="274"/>
      <c r="H20" s="274"/>
      <c r="I20" s="274"/>
      <c r="J20" s="274"/>
      <c r="K20" s="274"/>
      <c r="L20" s="184"/>
    </row>
    <row r="21" spans="1:12" ht="16" thickBot="1" x14ac:dyDescent="0.25">
      <c r="A21" s="274"/>
      <c r="B21" s="274"/>
      <c r="C21" s="274"/>
      <c r="D21" s="274"/>
      <c r="E21" s="274"/>
      <c r="F21" s="274"/>
      <c r="G21" s="274"/>
      <c r="H21" s="274"/>
      <c r="I21" s="274"/>
      <c r="J21" s="274"/>
      <c r="K21" s="274"/>
      <c r="L21" s="184"/>
    </row>
    <row r="22" spans="1:12" ht="16" thickBot="1" x14ac:dyDescent="0.25">
      <c r="A22" s="274"/>
      <c r="B22" s="274"/>
      <c r="C22" s="274"/>
      <c r="D22" s="274"/>
      <c r="E22" s="274"/>
      <c r="F22" s="274"/>
      <c r="G22" s="274"/>
      <c r="H22" s="274"/>
      <c r="I22" s="274"/>
      <c r="J22" s="274"/>
      <c r="K22" s="274"/>
      <c r="L22" s="184"/>
    </row>
    <row r="23" spans="1:12" ht="16" thickBot="1" x14ac:dyDescent="0.25">
      <c r="A23" s="274"/>
      <c r="B23" s="274"/>
      <c r="C23" s="274"/>
      <c r="D23" s="274"/>
      <c r="E23" s="274"/>
      <c r="F23" s="274"/>
      <c r="G23" s="274"/>
      <c r="H23" s="274"/>
      <c r="I23" s="274"/>
      <c r="J23" s="274"/>
      <c r="K23" s="274"/>
      <c r="L23" s="184"/>
    </row>
    <row r="24" spans="1:12" ht="16" thickBot="1" x14ac:dyDescent="0.25">
      <c r="A24" s="274"/>
      <c r="B24" s="274"/>
      <c r="C24" s="274"/>
      <c r="D24" s="274"/>
      <c r="E24" s="274"/>
      <c r="F24" s="274"/>
      <c r="G24" s="274"/>
      <c r="H24" s="274"/>
      <c r="I24" s="274"/>
      <c r="J24" s="274"/>
      <c r="K24" s="274"/>
      <c r="L24" s="184"/>
    </row>
    <row r="25" spans="1:12" ht="16" thickBot="1" x14ac:dyDescent="0.25">
      <c r="A25" s="274"/>
      <c r="B25" s="274"/>
      <c r="C25" s="274"/>
      <c r="D25" s="274"/>
      <c r="E25" s="274"/>
      <c r="F25" s="274"/>
      <c r="G25" s="274"/>
      <c r="H25" s="274"/>
      <c r="I25" s="274"/>
      <c r="J25" s="274"/>
      <c r="K25" s="274"/>
      <c r="L25" s="184"/>
    </row>
    <row r="26" spans="1:12" ht="16" thickBot="1" x14ac:dyDescent="0.25">
      <c r="A26" s="274"/>
      <c r="B26" s="274"/>
      <c r="C26" s="274"/>
      <c r="D26" s="274"/>
      <c r="E26" s="274"/>
      <c r="F26" s="274"/>
      <c r="G26" s="274"/>
      <c r="H26" s="274"/>
      <c r="I26" s="274"/>
      <c r="J26" s="274"/>
      <c r="K26" s="274"/>
      <c r="L26" s="184"/>
    </row>
    <row r="27" spans="1:12" ht="16" thickBot="1" x14ac:dyDescent="0.25">
      <c r="A27" s="274"/>
      <c r="B27" s="274"/>
      <c r="C27" s="274"/>
      <c r="D27" s="274"/>
      <c r="E27" s="274"/>
      <c r="F27" s="274"/>
      <c r="G27" s="274"/>
      <c r="H27" s="274"/>
      <c r="I27" s="274"/>
      <c r="J27" s="274"/>
      <c r="K27" s="274"/>
      <c r="L27" s="184"/>
    </row>
    <row r="28" spans="1:12" ht="16" thickBot="1" x14ac:dyDescent="0.25">
      <c r="A28" s="274"/>
      <c r="B28" s="274"/>
      <c r="C28" s="274"/>
      <c r="D28" s="274"/>
      <c r="E28" s="274"/>
      <c r="F28" s="274"/>
      <c r="G28" s="274"/>
      <c r="H28" s="274"/>
      <c r="I28" s="274"/>
      <c r="J28" s="274"/>
      <c r="K28" s="274"/>
      <c r="L28" s="184"/>
    </row>
    <row r="29" spans="1:12" ht="16" thickBot="1" x14ac:dyDescent="0.25">
      <c r="A29" s="274"/>
      <c r="B29" s="274"/>
      <c r="C29" s="274"/>
      <c r="D29" s="274"/>
      <c r="E29" s="274"/>
      <c r="F29" s="274"/>
      <c r="G29" s="274"/>
      <c r="H29" s="274"/>
      <c r="I29" s="274"/>
      <c r="J29" s="274"/>
      <c r="K29" s="274"/>
      <c r="L29" s="184"/>
    </row>
    <row r="30" spans="1:12" ht="16" thickBot="1" x14ac:dyDescent="0.25">
      <c r="A30" s="274"/>
      <c r="B30" s="274"/>
      <c r="C30" s="274"/>
      <c r="D30" s="274"/>
      <c r="E30" s="274"/>
      <c r="F30" s="274"/>
      <c r="G30" s="274"/>
      <c r="H30" s="274"/>
      <c r="I30" s="274"/>
      <c r="J30" s="274"/>
      <c r="K30" s="274"/>
      <c r="L30" s="184"/>
    </row>
    <row r="31" spans="1:12" ht="16" thickBot="1" x14ac:dyDescent="0.25">
      <c r="A31" s="274"/>
      <c r="B31" s="274"/>
      <c r="C31" s="274"/>
      <c r="D31" s="274"/>
      <c r="E31" s="274"/>
      <c r="F31" s="274"/>
      <c r="G31" s="274"/>
      <c r="H31" s="274"/>
      <c r="I31" s="274"/>
      <c r="J31" s="274"/>
      <c r="K31" s="274"/>
      <c r="L31" s="184"/>
    </row>
    <row r="32" spans="1:12" ht="16" thickBot="1" x14ac:dyDescent="0.25">
      <c r="A32" s="274"/>
      <c r="B32" s="274"/>
      <c r="C32" s="274"/>
      <c r="D32" s="274"/>
      <c r="E32" s="274"/>
      <c r="F32" s="274"/>
      <c r="G32" s="274"/>
      <c r="H32" s="274"/>
      <c r="I32" s="274"/>
      <c r="J32" s="274"/>
      <c r="K32" s="274"/>
      <c r="L32" s="184"/>
    </row>
    <row r="33" spans="1:96" ht="16" thickBot="1" x14ac:dyDescent="0.25">
      <c r="A33" s="274"/>
      <c r="B33" s="274"/>
      <c r="C33" s="274"/>
      <c r="D33" s="274"/>
      <c r="E33" s="274"/>
      <c r="F33" s="274"/>
      <c r="G33" s="274"/>
      <c r="H33" s="274"/>
      <c r="I33" s="274"/>
      <c r="J33" s="274"/>
      <c r="K33" s="274"/>
      <c r="L33" s="184"/>
    </row>
    <row r="34" spans="1:96" ht="16" thickBot="1" x14ac:dyDescent="0.25">
      <c r="A34" s="274"/>
      <c r="B34" s="274"/>
      <c r="C34" s="274"/>
      <c r="D34" s="274"/>
      <c r="E34" s="274"/>
      <c r="F34" s="274"/>
      <c r="G34" s="274"/>
      <c r="H34" s="274"/>
      <c r="I34" s="274"/>
      <c r="J34" s="274"/>
      <c r="K34" s="274"/>
      <c r="L34" s="184"/>
    </row>
    <row r="35" spans="1:96" ht="16" thickBot="1" x14ac:dyDescent="0.25">
      <c r="A35" s="274"/>
      <c r="B35" s="274"/>
      <c r="C35" s="274"/>
      <c r="D35" s="274"/>
      <c r="E35" s="274"/>
      <c r="F35" s="274"/>
      <c r="G35" s="274"/>
      <c r="H35" s="274"/>
      <c r="I35" s="274"/>
      <c r="J35" s="274"/>
      <c r="K35" s="274"/>
      <c r="L35" s="184"/>
    </row>
    <row r="36" spans="1:96" ht="16" thickBot="1" x14ac:dyDescent="0.25">
      <c r="A36" s="274"/>
      <c r="B36" s="274"/>
      <c r="C36" s="274"/>
      <c r="D36" s="274"/>
      <c r="E36" s="274"/>
      <c r="F36" s="274"/>
      <c r="G36" s="274"/>
      <c r="H36" s="274"/>
      <c r="I36" s="274"/>
      <c r="J36" s="274"/>
      <c r="K36" s="274"/>
      <c r="L36" s="184"/>
    </row>
    <row r="37" spans="1:96" ht="16" thickBot="1" x14ac:dyDescent="0.25">
      <c r="A37" s="274"/>
      <c r="B37" s="274"/>
      <c r="C37" s="274"/>
      <c r="D37" s="274"/>
      <c r="E37" s="274"/>
      <c r="F37" s="274"/>
      <c r="G37" s="274"/>
      <c r="H37" s="274"/>
      <c r="I37" s="274"/>
      <c r="J37" s="274"/>
      <c r="K37" s="274"/>
      <c r="L37" s="184"/>
    </row>
    <row r="38" spans="1:96" ht="16" thickBot="1" x14ac:dyDescent="0.25">
      <c r="A38" s="274"/>
      <c r="B38" s="274"/>
      <c r="C38" s="274"/>
      <c r="D38" s="274"/>
      <c r="E38" s="274"/>
      <c r="F38" s="274"/>
      <c r="G38" s="274"/>
      <c r="H38" s="274"/>
      <c r="I38" s="274"/>
      <c r="J38" s="274"/>
      <c r="K38" s="274"/>
      <c r="L38" s="184"/>
    </row>
    <row r="39" spans="1:96" ht="16" thickBot="1" x14ac:dyDescent="0.25">
      <c r="A39" s="274"/>
      <c r="B39" s="274"/>
      <c r="C39" s="274"/>
      <c r="D39" s="274"/>
      <c r="E39" s="274"/>
      <c r="F39" s="274"/>
      <c r="G39" s="274"/>
      <c r="H39" s="274"/>
      <c r="I39" s="274"/>
      <c r="J39" s="274"/>
      <c r="K39" s="274"/>
      <c r="L39" s="184"/>
    </row>
    <row r="40" spans="1:96" ht="16" thickBot="1" x14ac:dyDescent="0.25">
      <c r="A40" s="274"/>
      <c r="B40" s="274"/>
      <c r="C40" s="274"/>
      <c r="D40" s="274"/>
      <c r="E40" s="274"/>
      <c r="F40" s="274"/>
      <c r="G40" s="274"/>
      <c r="H40" s="274"/>
      <c r="I40" s="274"/>
      <c r="J40" s="274"/>
      <c r="K40" s="274"/>
      <c r="L40" s="184"/>
    </row>
    <row r="41" spans="1:96" ht="16" thickBot="1" x14ac:dyDescent="0.25">
      <c r="A41" s="274"/>
      <c r="B41" s="274"/>
      <c r="C41" s="274"/>
      <c r="D41" s="274"/>
      <c r="E41" s="274"/>
      <c r="F41" s="274"/>
      <c r="G41" s="274"/>
      <c r="H41" s="274"/>
      <c r="I41" s="274"/>
      <c r="J41" s="274"/>
      <c r="K41" s="274"/>
      <c r="L41" s="184"/>
    </row>
    <row r="42" spans="1:96" x14ac:dyDescent="0.2">
      <c r="A42" s="290"/>
      <c r="B42" s="290"/>
      <c r="C42" s="290"/>
      <c r="D42" s="290"/>
      <c r="E42" s="290"/>
      <c r="F42" s="290"/>
      <c r="G42" s="290"/>
      <c r="H42" s="290"/>
      <c r="I42" s="290"/>
      <c r="J42" s="290"/>
      <c r="K42" s="290"/>
      <c r="L42" s="184"/>
    </row>
    <row r="43" spans="1:96" s="165" customFormat="1" x14ac:dyDescent="0.2">
      <c r="A43" s="167"/>
      <c r="B43" s="167"/>
      <c r="C43" s="288"/>
      <c r="D43" s="167"/>
      <c r="E43" s="167"/>
      <c r="F43" s="167"/>
      <c r="G43" s="167"/>
      <c r="H43" s="167"/>
      <c r="I43" s="167"/>
      <c r="J43" s="167"/>
      <c r="K43" s="167"/>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row>
    <row r="44" spans="1:96" s="311" customFormat="1" x14ac:dyDescent="0.2">
      <c r="A44" s="167"/>
      <c r="B44" s="167"/>
      <c r="C44" s="288"/>
      <c r="D44" s="167"/>
      <c r="E44" s="167"/>
      <c r="F44" s="167"/>
      <c r="G44" s="167"/>
      <c r="H44" s="172"/>
      <c r="I44" s="167"/>
      <c r="J44" s="167"/>
      <c r="K44" s="167"/>
      <c r="L44" s="312"/>
    </row>
    <row r="45" spans="1:96" s="165" customFormat="1" x14ac:dyDescent="0.2">
      <c r="A45" s="167"/>
      <c r="B45" s="167"/>
      <c r="C45" s="288"/>
      <c r="D45" s="167"/>
      <c r="E45" s="167"/>
      <c r="F45" s="167"/>
      <c r="G45" s="167"/>
      <c r="H45" s="172"/>
      <c r="I45" s="167"/>
      <c r="J45" s="167"/>
      <c r="K45" s="167"/>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row>
    <row r="46" spans="1:96" s="165" customFormat="1" x14ac:dyDescent="0.2">
      <c r="A46" s="167"/>
      <c r="B46" s="167"/>
      <c r="C46" s="288"/>
      <c r="D46" s="167"/>
      <c r="E46" s="167"/>
      <c r="F46" s="167"/>
      <c r="G46" s="167"/>
      <c r="H46" s="172"/>
      <c r="I46" s="167"/>
      <c r="J46" s="167"/>
      <c r="K46" s="167"/>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row>
    <row r="47" spans="1:96" s="165" customFormat="1" x14ac:dyDescent="0.2">
      <c r="A47" s="167"/>
      <c r="B47" s="167"/>
      <c r="C47" s="288"/>
      <c r="D47" s="167"/>
      <c r="E47" s="167"/>
      <c r="F47" s="167"/>
      <c r="G47" s="167"/>
      <c r="H47" s="172"/>
      <c r="I47" s="167"/>
      <c r="J47" s="167"/>
      <c r="K47" s="16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row>
    <row r="48" spans="1:96" x14ac:dyDescent="0.2">
      <c r="A48" s="167"/>
      <c r="B48" s="167"/>
      <c r="C48" s="288"/>
      <c r="D48" s="167"/>
      <c r="E48" s="167"/>
      <c r="F48" s="167"/>
      <c r="G48" s="167"/>
      <c r="H48" s="172"/>
      <c r="I48" s="167"/>
      <c r="J48" s="167"/>
      <c r="K48" s="167"/>
      <c r="L48" s="167"/>
    </row>
    <row r="49" spans="1:97" s="165" customFormat="1" x14ac:dyDescent="0.2">
      <c r="A49" s="314"/>
      <c r="B49" s="167"/>
      <c r="C49" s="167"/>
      <c r="D49" s="167"/>
      <c r="E49" s="167"/>
      <c r="F49" s="167"/>
      <c r="G49" s="167"/>
      <c r="H49" s="167"/>
      <c r="I49" s="167"/>
      <c r="J49" s="167"/>
      <c r="K49" s="167"/>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row>
    <row r="50" spans="1:97" s="165" customFormat="1" x14ac:dyDescent="0.2">
      <c r="A50" s="314"/>
      <c r="B50" s="167"/>
      <c r="C50" s="167"/>
      <c r="D50" s="167"/>
      <c r="E50" s="167"/>
      <c r="F50" s="167"/>
      <c r="G50" s="167"/>
      <c r="H50" s="167"/>
      <c r="I50" s="167"/>
      <c r="J50" s="167"/>
      <c r="K50" s="167"/>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row>
    <row r="51" spans="1:97" s="165" customFormat="1" x14ac:dyDescent="0.2">
      <c r="A51" s="314"/>
      <c r="B51" s="167"/>
      <c r="C51" s="167"/>
      <c r="D51" s="167"/>
      <c r="E51" s="167"/>
      <c r="F51" s="167"/>
      <c r="G51" s="167"/>
      <c r="H51" s="167"/>
      <c r="I51" s="167"/>
      <c r="J51" s="167"/>
      <c r="K51" s="167"/>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row>
    <row r="52" spans="1:97" s="165" customFormat="1" x14ac:dyDescent="0.2">
      <c r="A52" s="314"/>
      <c r="B52" s="167"/>
      <c r="C52" s="167"/>
      <c r="D52" s="167"/>
      <c r="E52" s="167"/>
      <c r="F52" s="167"/>
      <c r="G52" s="167"/>
      <c r="H52" s="167"/>
      <c r="I52" s="167"/>
      <c r="J52" s="167"/>
      <c r="K52" s="167"/>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row>
    <row r="53" spans="1:97" x14ac:dyDescent="0.2">
      <c r="A53" s="167"/>
      <c r="B53" s="167"/>
      <c r="C53" s="288"/>
      <c r="D53" s="167"/>
      <c r="E53" s="167"/>
      <c r="F53" s="167"/>
      <c r="G53" s="167"/>
      <c r="H53" s="167"/>
      <c r="I53" s="167"/>
      <c r="J53" s="167"/>
      <c r="K53" s="167"/>
      <c r="L53" s="167"/>
    </row>
    <row r="54" spans="1:97" s="165" customFormat="1" x14ac:dyDescent="0.2">
      <c r="A54" s="314"/>
      <c r="B54" s="167"/>
      <c r="C54" s="167"/>
      <c r="D54" s="167"/>
      <c r="E54" s="167"/>
      <c r="F54" s="167"/>
      <c r="G54" s="167"/>
      <c r="H54" s="167"/>
      <c r="I54" s="167"/>
      <c r="J54" s="167"/>
      <c r="K54" s="167"/>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row>
    <row r="55" spans="1:97" s="165" customFormat="1" x14ac:dyDescent="0.2">
      <c r="A55"/>
      <c r="B55" s="167"/>
      <c r="C55" s="167"/>
      <c r="D55" s="167"/>
      <c r="E55" s="167"/>
      <c r="F55" s="167"/>
      <c r="G55" s="167"/>
      <c r="H55" s="167"/>
      <c r="I55" s="167"/>
      <c r="J55" s="167"/>
      <c r="K55" s="167"/>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row>
    <row r="56" spans="1:97" s="165" customFormat="1" x14ac:dyDescent="0.2">
      <c r="A56"/>
      <c r="B56"/>
      <c r="C56" s="167"/>
      <c r="D56" s="167"/>
      <c r="E56" s="167"/>
      <c r="F56" s="167"/>
      <c r="G56" s="167"/>
      <c r="H56" s="167"/>
      <c r="I56" s="167"/>
      <c r="J56" s="167"/>
      <c r="K56" s="167"/>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row>
    <row r="57" spans="1:97" s="165" customFormat="1" x14ac:dyDescent="0.2">
      <c r="A57"/>
      <c r="B57" s="167"/>
      <c r="C57" s="167"/>
      <c r="D57" s="167"/>
      <c r="E57" s="167"/>
      <c r="F57" s="167"/>
      <c r="G57" s="167"/>
      <c r="H57" s="167"/>
      <c r="I57" s="167"/>
      <c r="J57" s="167"/>
      <c r="K57" s="16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row>
    <row r="58" spans="1:97" s="165" customFormat="1" x14ac:dyDescent="0.2">
      <c r="A58" s="167"/>
      <c r="B58" s="167"/>
      <c r="C58" s="167"/>
      <c r="D58" s="167"/>
      <c r="E58" s="167"/>
      <c r="F58" s="167"/>
      <c r="G58" s="167"/>
      <c r="H58" s="167"/>
      <c r="I58" s="167"/>
      <c r="J58" s="167"/>
      <c r="K58" s="167"/>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row>
    <row r="59" spans="1:97" x14ac:dyDescent="0.2">
      <c r="B59" s="167"/>
      <c r="C59" s="167"/>
      <c r="D59" s="167"/>
      <c r="E59" s="167"/>
      <c r="F59" s="167"/>
      <c r="G59" s="167"/>
      <c r="H59" s="167"/>
      <c r="I59" s="167"/>
      <c r="J59" s="167"/>
      <c r="K59" s="167"/>
    </row>
    <row r="60" spans="1:97" x14ac:dyDescent="0.2">
      <c r="B60" s="167"/>
      <c r="C60" s="288"/>
      <c r="D60" s="167"/>
      <c r="E60" s="167"/>
      <c r="F60" s="167"/>
      <c r="G60" s="167"/>
      <c r="H60" s="167"/>
      <c r="I60" s="167"/>
      <c r="J60" s="167"/>
      <c r="K60" s="167"/>
    </row>
    <row r="61" spans="1:97" x14ac:dyDescent="0.2">
      <c r="B61" s="167"/>
      <c r="C61" s="288"/>
      <c r="D61" s="167"/>
      <c r="E61" s="167"/>
      <c r="F61" s="167"/>
      <c r="G61" s="167"/>
      <c r="H61" s="167"/>
      <c r="I61" s="167"/>
      <c r="J61" s="167"/>
      <c r="K61" s="167"/>
    </row>
    <row r="62" spans="1:97" x14ac:dyDescent="0.2">
      <c r="B62" s="167"/>
      <c r="C62" s="288"/>
      <c r="D62" s="167"/>
      <c r="E62" s="167"/>
      <c r="F62" s="167"/>
      <c r="G62" s="167"/>
      <c r="H62" s="172"/>
      <c r="I62" s="167"/>
      <c r="J62" s="167"/>
      <c r="K62" s="167"/>
    </row>
    <row r="63" spans="1:97" x14ac:dyDescent="0.2">
      <c r="A63" s="167"/>
      <c r="B63" s="167"/>
      <c r="C63" s="288"/>
      <c r="D63" s="167"/>
      <c r="E63" s="167"/>
      <c r="F63" s="167"/>
      <c r="G63" s="167"/>
      <c r="H63" s="172"/>
      <c r="I63" s="167"/>
      <c r="J63" s="167"/>
      <c r="K63" s="167"/>
    </row>
    <row r="64" spans="1:97" x14ac:dyDescent="0.2">
      <c r="A64" s="167"/>
      <c r="B64" s="167"/>
      <c r="C64" s="288"/>
      <c r="D64" s="167"/>
      <c r="E64" s="167"/>
      <c r="F64" s="167"/>
      <c r="G64" s="167"/>
      <c r="H64" s="172"/>
      <c r="I64" s="167"/>
      <c r="J64" s="167"/>
      <c r="K64" s="167"/>
    </row>
    <row r="65" spans="1:11" x14ac:dyDescent="0.2">
      <c r="A65" s="167"/>
      <c r="B65" s="167"/>
      <c r="C65" s="288"/>
      <c r="D65" s="167"/>
      <c r="E65" s="167"/>
      <c r="F65" s="167"/>
      <c r="G65" s="167"/>
      <c r="H65" s="172"/>
      <c r="I65" s="167"/>
      <c r="J65" s="167"/>
      <c r="K65" s="167"/>
    </row>
    <row r="66" spans="1:11" x14ac:dyDescent="0.2">
      <c r="A66" s="167"/>
      <c r="B66" s="167"/>
      <c r="C66" s="288"/>
      <c r="D66" s="167"/>
      <c r="E66" s="167"/>
      <c r="F66" s="167"/>
      <c r="G66" s="167"/>
      <c r="H66" s="172"/>
      <c r="I66" s="167"/>
      <c r="J66" s="167"/>
      <c r="K66" s="167"/>
    </row>
    <row r="67" spans="1:11" x14ac:dyDescent="0.2">
      <c r="A67" s="56"/>
      <c r="B67" s="56"/>
      <c r="C67" s="56"/>
      <c r="D67" s="56"/>
      <c r="E67" s="56"/>
      <c r="F67" s="56"/>
      <c r="G67" s="56"/>
      <c r="H67" s="56"/>
      <c r="I67" s="56"/>
      <c r="J67" s="56"/>
      <c r="K67" s="56"/>
    </row>
    <row r="68" spans="1:11" x14ac:dyDescent="0.2">
      <c r="A68" s="56"/>
      <c r="B68" s="56"/>
      <c r="C68" s="56"/>
      <c r="D68" s="56"/>
      <c r="E68" s="56"/>
      <c r="F68" s="56"/>
      <c r="G68" s="56"/>
      <c r="H68" s="56"/>
      <c r="I68" s="56"/>
      <c r="J68" s="56"/>
      <c r="K68" s="56"/>
    </row>
    <row r="69" spans="1:11" x14ac:dyDescent="0.2">
      <c r="A69" s="291"/>
      <c r="B69" s="291"/>
      <c r="C69" s="291"/>
      <c r="D69" s="291"/>
      <c r="E69" s="291"/>
      <c r="F69" s="167"/>
      <c r="G69" s="167"/>
      <c r="H69" s="291"/>
      <c r="I69" s="167"/>
      <c r="J69" s="167"/>
      <c r="K69" s="291"/>
    </row>
    <row r="70" spans="1:11" x14ac:dyDescent="0.2">
      <c r="A70" s="291"/>
      <c r="B70" s="291"/>
      <c r="C70" s="291"/>
      <c r="D70" s="291"/>
      <c r="E70" s="291"/>
      <c r="F70" s="167"/>
      <c r="G70" s="167"/>
      <c r="H70" s="291"/>
      <c r="I70" s="167"/>
      <c r="J70" s="167"/>
      <c r="K70" s="291"/>
    </row>
    <row r="71" spans="1:11" x14ac:dyDescent="0.2">
      <c r="A71" s="291"/>
      <c r="B71" s="291"/>
      <c r="C71" s="291"/>
      <c r="D71" s="291"/>
      <c r="E71" s="291"/>
      <c r="F71" s="167"/>
      <c r="G71" s="167"/>
      <c r="H71" s="291"/>
      <c r="I71" s="167"/>
      <c r="J71" s="167"/>
      <c r="K71" s="291"/>
    </row>
    <row r="72" spans="1:11" x14ac:dyDescent="0.2">
      <c r="A72" s="291"/>
      <c r="B72" s="291"/>
      <c r="C72" s="291"/>
      <c r="D72" s="291"/>
      <c r="E72" s="291"/>
      <c r="F72" s="167"/>
      <c r="G72" s="167"/>
      <c r="H72" s="291"/>
      <c r="I72" s="291"/>
      <c r="J72" s="291"/>
      <c r="K72" s="291"/>
    </row>
    <row r="73" spans="1:11" x14ac:dyDescent="0.2">
      <c r="A73" s="291"/>
      <c r="B73" s="291"/>
      <c r="C73" s="291"/>
      <c r="D73" s="291"/>
      <c r="E73" s="291"/>
      <c r="F73" s="291"/>
      <c r="G73" s="291"/>
      <c r="H73" s="291"/>
      <c r="I73" s="291"/>
      <c r="J73" s="291"/>
      <c r="K73" s="291"/>
    </row>
    <row r="74" spans="1:11" x14ac:dyDescent="0.2">
      <c r="A74" s="291"/>
      <c r="B74" s="291"/>
      <c r="C74" s="291"/>
      <c r="D74" s="291"/>
      <c r="E74" s="291"/>
      <c r="F74" s="291"/>
      <c r="G74" s="291"/>
      <c r="H74" s="291"/>
      <c r="I74" s="291"/>
      <c r="J74" s="291"/>
      <c r="K74" s="291"/>
    </row>
    <row r="75" spans="1:11" x14ac:dyDescent="0.2">
      <c r="A75" s="56"/>
      <c r="B75" s="56"/>
      <c r="C75" s="56"/>
      <c r="D75" s="56"/>
      <c r="E75" s="56"/>
      <c r="F75" s="56"/>
      <c r="G75" s="56"/>
      <c r="H75" s="56"/>
      <c r="I75" s="56"/>
      <c r="J75" s="56"/>
      <c r="K75" s="56"/>
    </row>
    <row r="76" spans="1:11" x14ac:dyDescent="0.2">
      <c r="A76" s="56"/>
      <c r="B76" s="56"/>
      <c r="C76" s="56"/>
      <c r="D76" s="56"/>
      <c r="E76" s="56"/>
      <c r="F76" s="56"/>
      <c r="G76" s="56"/>
      <c r="H76" s="56"/>
      <c r="I76" s="56"/>
      <c r="J76" s="56"/>
      <c r="K76" s="56"/>
    </row>
    <row r="77" spans="1:11" x14ac:dyDescent="0.2">
      <c r="A77" s="56"/>
      <c r="B77" s="56"/>
      <c r="C77" s="56"/>
      <c r="D77" s="56"/>
      <c r="E77" s="56"/>
      <c r="F77" s="56"/>
      <c r="G77" s="56"/>
      <c r="H77" s="56"/>
      <c r="I77" s="56"/>
      <c r="J77" s="56"/>
      <c r="K77" s="56"/>
    </row>
    <row r="78" spans="1:11" x14ac:dyDescent="0.2">
      <c r="A78" s="56"/>
      <c r="B78" s="56"/>
      <c r="C78" s="56"/>
      <c r="D78" s="56"/>
      <c r="E78" s="56"/>
      <c r="F78" s="56"/>
      <c r="G78" s="56"/>
      <c r="H78" s="56"/>
      <c r="I78" s="56"/>
      <c r="J78" s="56"/>
      <c r="K78" s="56"/>
    </row>
    <row r="79" spans="1:11" x14ac:dyDescent="0.2">
      <c r="A79" s="56"/>
      <c r="B79" s="56"/>
      <c r="C79" s="56"/>
      <c r="D79" s="56"/>
      <c r="E79" s="56"/>
      <c r="F79" s="56"/>
      <c r="G79" s="56"/>
      <c r="H79" s="56"/>
      <c r="I79" s="56"/>
      <c r="J79" s="56"/>
      <c r="K79" s="56"/>
    </row>
    <row r="80" spans="1:11" x14ac:dyDescent="0.2">
      <c r="A80" s="56"/>
      <c r="B80" s="56"/>
      <c r="C80" s="56"/>
      <c r="D80" s="56"/>
      <c r="E80" s="56"/>
      <c r="F80" s="56"/>
      <c r="G80" s="56"/>
      <c r="H80" s="56"/>
      <c r="I80" s="56"/>
      <c r="J80" s="56"/>
      <c r="K80" s="56"/>
    </row>
    <row r="81" spans="1:11" x14ac:dyDescent="0.2">
      <c r="A81" s="56"/>
      <c r="B81" s="56"/>
      <c r="C81" s="56"/>
      <c r="D81" s="56"/>
      <c r="E81" s="56"/>
      <c r="F81" s="56"/>
      <c r="G81" s="56"/>
      <c r="H81" s="56"/>
      <c r="I81" s="56"/>
      <c r="J81" s="56"/>
      <c r="K81" s="56"/>
    </row>
    <row r="82" spans="1:11" x14ac:dyDescent="0.2">
      <c r="A82" s="56"/>
      <c r="B82" s="56"/>
      <c r="C82" s="56"/>
      <c r="D82" s="56"/>
      <c r="E82" s="56"/>
      <c r="F82" s="56"/>
      <c r="G82" s="56"/>
      <c r="H82" s="56"/>
      <c r="I82" s="56"/>
      <c r="J82" s="56"/>
      <c r="K82" s="56"/>
    </row>
    <row r="83" spans="1:11" x14ac:dyDescent="0.2">
      <c r="A83" s="56"/>
      <c r="B83" s="56"/>
      <c r="C83" s="56"/>
      <c r="D83" s="56"/>
      <c r="E83" s="56"/>
      <c r="F83" s="56"/>
      <c r="G83" s="56"/>
      <c r="H83" s="56"/>
      <c r="I83" s="56"/>
      <c r="J83" s="56"/>
      <c r="K83" s="56"/>
    </row>
    <row r="84" spans="1:11" x14ac:dyDescent="0.2">
      <c r="A84" s="56"/>
      <c r="B84" s="56"/>
      <c r="C84" s="56"/>
      <c r="D84" s="56"/>
      <c r="E84" s="56"/>
      <c r="F84" s="56"/>
      <c r="G84" s="56"/>
      <c r="H84" s="56"/>
      <c r="I84" s="56"/>
      <c r="J84" s="56"/>
      <c r="K84" s="56"/>
    </row>
    <row r="85" spans="1:11" x14ac:dyDescent="0.2">
      <c r="A85" s="56"/>
      <c r="B85" s="56"/>
      <c r="C85" s="56"/>
      <c r="D85" s="56"/>
      <c r="E85" s="56"/>
      <c r="F85" s="56"/>
      <c r="G85" s="56"/>
      <c r="H85" s="56"/>
      <c r="I85" s="56"/>
      <c r="J85" s="56"/>
      <c r="K85" s="56"/>
    </row>
    <row r="86" spans="1:11" x14ac:dyDescent="0.2">
      <c r="A86" s="56"/>
      <c r="B86" s="56"/>
      <c r="C86" s="56"/>
      <c r="D86" s="56"/>
      <c r="E86" s="56"/>
      <c r="F86" s="56"/>
      <c r="G86" s="56"/>
      <c r="H86" s="56"/>
      <c r="I86" s="56"/>
      <c r="J86" s="56"/>
      <c r="K86" s="56"/>
    </row>
    <row r="87" spans="1:11" x14ac:dyDescent="0.2">
      <c r="A87" s="56"/>
      <c r="B87" s="56"/>
      <c r="C87" s="56"/>
      <c r="D87" s="56"/>
      <c r="E87" s="56"/>
      <c r="F87" s="56"/>
      <c r="G87" s="56"/>
      <c r="H87" s="56"/>
      <c r="I87" s="56"/>
      <c r="J87" s="56"/>
      <c r="K87" s="56"/>
    </row>
    <row r="88" spans="1:11" x14ac:dyDescent="0.2">
      <c r="A88" s="56"/>
      <c r="B88" s="56"/>
      <c r="C88" s="56"/>
      <c r="D88" s="56"/>
      <c r="E88" s="56"/>
      <c r="F88" s="56"/>
      <c r="G88" s="56"/>
      <c r="H88" s="56"/>
      <c r="I88" s="56"/>
      <c r="J88" s="56"/>
      <c r="K88" s="56"/>
    </row>
    <row r="89" spans="1:11" x14ac:dyDescent="0.2">
      <c r="A89" s="56"/>
      <c r="B89" s="56"/>
      <c r="C89" s="56"/>
      <c r="D89" s="56"/>
      <c r="E89" s="56"/>
      <c r="F89" s="56"/>
      <c r="G89" s="56"/>
      <c r="H89" s="56"/>
      <c r="I89" s="56"/>
      <c r="J89" s="56"/>
      <c r="K89" s="56"/>
    </row>
    <row r="90" spans="1:11" x14ac:dyDescent="0.2">
      <c r="A90" s="56"/>
      <c r="B90" s="56"/>
      <c r="C90" s="56"/>
      <c r="D90" s="56"/>
      <c r="E90" s="56"/>
      <c r="F90" s="56"/>
      <c r="G90" s="56"/>
      <c r="H90" s="56"/>
      <c r="I90" s="56"/>
      <c r="J90" s="56"/>
      <c r="K90" s="56"/>
    </row>
    <row r="91" spans="1:11" x14ac:dyDescent="0.2">
      <c r="A91" s="56"/>
      <c r="B91" s="56"/>
      <c r="C91" s="56"/>
      <c r="D91" s="56"/>
      <c r="E91" s="56"/>
      <c r="F91" s="56"/>
      <c r="G91" s="56"/>
      <c r="H91" s="56"/>
      <c r="I91" s="56"/>
      <c r="J91" s="56"/>
      <c r="K91" s="56"/>
    </row>
    <row r="92" spans="1:11" x14ac:dyDescent="0.2">
      <c r="A92" s="56"/>
      <c r="B92" s="56"/>
      <c r="C92" s="56"/>
      <c r="D92" s="56"/>
      <c r="E92" s="56"/>
      <c r="F92" s="56"/>
      <c r="G92" s="56"/>
      <c r="H92" s="56"/>
      <c r="I92" s="56"/>
      <c r="J92" s="56"/>
      <c r="K92" s="56"/>
    </row>
    <row r="93" spans="1:11" x14ac:dyDescent="0.2">
      <c r="A93" s="56"/>
      <c r="B93" s="56"/>
      <c r="C93" s="56"/>
      <c r="D93" s="56"/>
      <c r="E93" s="56"/>
      <c r="F93" s="56"/>
      <c r="G93" s="56"/>
      <c r="H93" s="56"/>
      <c r="I93" s="56"/>
      <c r="J93" s="56"/>
      <c r="K93" s="56"/>
    </row>
    <row r="94" spans="1:11" x14ac:dyDescent="0.2">
      <c r="A94" s="56"/>
      <c r="B94" s="56"/>
      <c r="C94" s="56"/>
      <c r="D94" s="56"/>
      <c r="E94" s="56"/>
      <c r="F94" s="56"/>
      <c r="G94" s="56"/>
      <c r="H94" s="56"/>
      <c r="I94" s="56"/>
      <c r="J94" s="56"/>
      <c r="K94" s="56"/>
    </row>
    <row r="95" spans="1:11" x14ac:dyDescent="0.2">
      <c r="A95" s="56"/>
      <c r="B95" s="56"/>
      <c r="C95" s="56"/>
      <c r="D95" s="56"/>
      <c r="E95" s="56"/>
      <c r="F95" s="56"/>
      <c r="G95" s="56"/>
      <c r="H95" s="56"/>
      <c r="I95" s="56"/>
      <c r="J95" s="56"/>
      <c r="K95" s="56"/>
    </row>
    <row r="96" spans="1:11" x14ac:dyDescent="0.2">
      <c r="A96" s="56"/>
      <c r="B96" s="56"/>
      <c r="C96" s="56"/>
      <c r="D96" s="56"/>
      <c r="E96" s="56"/>
      <c r="F96" s="56"/>
      <c r="G96" s="56"/>
      <c r="H96" s="56"/>
      <c r="I96" s="56"/>
      <c r="J96" s="56"/>
      <c r="K96" s="56"/>
    </row>
    <row r="97" spans="1:11" x14ac:dyDescent="0.2">
      <c r="A97" s="56"/>
      <c r="B97" s="56"/>
      <c r="C97" s="56"/>
      <c r="D97" s="56"/>
      <c r="E97" s="56"/>
      <c r="F97" s="56"/>
      <c r="G97" s="56"/>
      <c r="H97" s="56"/>
      <c r="I97" s="56"/>
      <c r="J97" s="56"/>
      <c r="K97" s="56"/>
    </row>
    <row r="98" spans="1:11" x14ac:dyDescent="0.2">
      <c r="A98" s="56"/>
      <c r="B98" s="56"/>
      <c r="C98" s="56"/>
      <c r="D98" s="56"/>
      <c r="E98" s="56"/>
      <c r="F98" s="56"/>
      <c r="G98" s="56"/>
      <c r="H98" s="56"/>
      <c r="I98" s="56"/>
      <c r="J98" s="56"/>
      <c r="K98" s="56"/>
    </row>
    <row r="99" spans="1:11" x14ac:dyDescent="0.2">
      <c r="A99" s="56"/>
      <c r="B99" s="56"/>
      <c r="C99" s="56"/>
      <c r="D99" s="56"/>
      <c r="E99" s="56"/>
      <c r="F99" s="56"/>
      <c r="G99" s="56"/>
      <c r="H99" s="56"/>
      <c r="I99" s="56"/>
      <c r="J99" s="56"/>
      <c r="K99" s="56"/>
    </row>
    <row r="100" spans="1:11" x14ac:dyDescent="0.2">
      <c r="A100" s="56"/>
      <c r="B100" s="56"/>
      <c r="C100" s="56"/>
      <c r="D100" s="56"/>
      <c r="E100" s="56"/>
      <c r="F100" s="56"/>
      <c r="G100" s="56"/>
      <c r="H100" s="56"/>
      <c r="I100" s="56"/>
      <c r="J100" s="56"/>
      <c r="K100" s="56"/>
    </row>
    <row r="101" spans="1:11" x14ac:dyDescent="0.2">
      <c r="A101" s="56"/>
      <c r="B101" s="56"/>
      <c r="C101" s="56"/>
      <c r="D101" s="56"/>
      <c r="E101" s="56"/>
      <c r="F101" s="56"/>
      <c r="G101" s="56"/>
      <c r="H101" s="56"/>
      <c r="I101" s="56"/>
      <c r="J101" s="56"/>
      <c r="K101" s="56"/>
    </row>
    <row r="102" spans="1:11" x14ac:dyDescent="0.2">
      <c r="A102" s="56"/>
      <c r="B102" s="56"/>
      <c r="C102" s="56"/>
      <c r="D102" s="56"/>
      <c r="E102" s="56"/>
      <c r="F102" s="56"/>
      <c r="G102" s="56"/>
      <c r="H102" s="56"/>
      <c r="I102" s="56"/>
      <c r="J102" s="56"/>
      <c r="K102" s="56"/>
    </row>
    <row r="103" spans="1:11" x14ac:dyDescent="0.2">
      <c r="A103" s="56"/>
      <c r="B103" s="56"/>
      <c r="C103" s="56"/>
      <c r="D103" s="56"/>
      <c r="E103" s="56"/>
      <c r="F103" s="56"/>
      <c r="G103" s="56"/>
      <c r="H103" s="56"/>
      <c r="I103" s="56"/>
      <c r="J103" s="56"/>
      <c r="K103" s="56"/>
    </row>
    <row r="104" spans="1:11" x14ac:dyDescent="0.2">
      <c r="A104" s="56"/>
      <c r="B104" s="56"/>
      <c r="C104" s="56"/>
      <c r="D104" s="56"/>
      <c r="E104" s="56"/>
      <c r="F104" s="56"/>
      <c r="G104" s="56"/>
      <c r="H104" s="56"/>
      <c r="I104" s="56"/>
      <c r="J104" s="56"/>
      <c r="K104" s="56"/>
    </row>
    <row r="105" spans="1:11" x14ac:dyDescent="0.2">
      <c r="A105" s="56"/>
      <c r="B105" s="56"/>
      <c r="C105" s="56"/>
      <c r="D105" s="56"/>
      <c r="E105" s="56"/>
      <c r="F105" s="56"/>
      <c r="G105" s="56"/>
      <c r="H105" s="56"/>
      <c r="I105" s="56"/>
      <c r="J105" s="56"/>
      <c r="K105" s="56"/>
    </row>
    <row r="106" spans="1:11" x14ac:dyDescent="0.2">
      <c r="A106" s="56"/>
      <c r="B106" s="56"/>
      <c r="C106" s="56"/>
      <c r="D106" s="56"/>
      <c r="E106" s="56"/>
      <c r="F106" s="56"/>
      <c r="G106" s="56"/>
      <c r="H106" s="56"/>
      <c r="I106" s="56"/>
      <c r="J106" s="56"/>
      <c r="K106" s="56"/>
    </row>
    <row r="107" spans="1:11" x14ac:dyDescent="0.2">
      <c r="A107" s="56"/>
      <c r="B107" s="56"/>
      <c r="C107" s="56"/>
      <c r="D107" s="56"/>
      <c r="E107" s="56"/>
      <c r="F107" s="56"/>
      <c r="G107" s="56"/>
      <c r="H107" s="56"/>
      <c r="I107" s="56"/>
      <c r="J107" s="56"/>
      <c r="K107" s="56"/>
    </row>
    <row r="108" spans="1:11" x14ac:dyDescent="0.2">
      <c r="A108" s="56"/>
      <c r="B108" s="56"/>
      <c r="C108" s="56"/>
      <c r="D108" s="56"/>
      <c r="E108" s="56"/>
      <c r="F108" s="56"/>
      <c r="G108" s="56"/>
      <c r="H108" s="56"/>
      <c r="I108" s="56"/>
      <c r="J108" s="56"/>
      <c r="K108" s="56"/>
    </row>
    <row r="109" spans="1:11" x14ac:dyDescent="0.2">
      <c r="A109" s="56"/>
      <c r="B109" s="56"/>
      <c r="C109" s="56"/>
      <c r="D109" s="56"/>
      <c r="E109" s="56"/>
      <c r="F109" s="56"/>
      <c r="G109" s="56"/>
      <c r="H109" s="56"/>
      <c r="I109" s="56"/>
      <c r="J109" s="56"/>
      <c r="K109" s="56"/>
    </row>
    <row r="110" spans="1:11" x14ac:dyDescent="0.2">
      <c r="A110" s="56"/>
      <c r="B110" s="56"/>
      <c r="C110" s="56"/>
      <c r="D110" s="56"/>
      <c r="E110" s="56"/>
      <c r="F110" s="56"/>
      <c r="G110" s="56"/>
      <c r="H110" s="56"/>
      <c r="I110" s="56"/>
      <c r="J110" s="56"/>
      <c r="K110" s="56"/>
    </row>
    <row r="111" spans="1:11" x14ac:dyDescent="0.2">
      <c r="A111" s="56"/>
      <c r="B111" s="56"/>
      <c r="C111" s="56"/>
      <c r="D111" s="56"/>
      <c r="E111" s="56"/>
      <c r="F111" s="56"/>
      <c r="G111" s="56"/>
      <c r="H111" s="56"/>
      <c r="I111" s="56"/>
      <c r="J111" s="56"/>
      <c r="K111" s="56"/>
    </row>
    <row r="112" spans="1:11" x14ac:dyDescent="0.2">
      <c r="A112" s="56"/>
      <c r="B112" s="56"/>
      <c r="C112" s="56"/>
      <c r="D112" s="56"/>
      <c r="E112" s="56"/>
      <c r="F112" s="56"/>
      <c r="G112" s="56"/>
      <c r="H112" s="56"/>
      <c r="I112" s="56"/>
      <c r="J112" s="56"/>
      <c r="K112" s="56"/>
    </row>
    <row r="113" spans="1:11" x14ac:dyDescent="0.2">
      <c r="A113" s="56"/>
      <c r="B113" s="56"/>
      <c r="C113" s="56"/>
      <c r="D113" s="56"/>
      <c r="E113" s="56"/>
      <c r="F113" s="56"/>
      <c r="G113" s="56"/>
      <c r="H113" s="56"/>
      <c r="I113" s="56"/>
      <c r="J113" s="56"/>
      <c r="K113" s="56"/>
    </row>
    <row r="114" spans="1:11" x14ac:dyDescent="0.2">
      <c r="A114" s="56"/>
      <c r="B114" s="56"/>
      <c r="C114" s="56"/>
      <c r="D114" s="56"/>
      <c r="E114" s="56"/>
      <c r="F114" s="56"/>
      <c r="G114" s="56"/>
      <c r="H114" s="56"/>
      <c r="I114" s="56"/>
      <c r="J114" s="56"/>
      <c r="K114" s="56"/>
    </row>
    <row r="115" spans="1:11" x14ac:dyDescent="0.2">
      <c r="A115" s="56"/>
      <c r="B115" s="56"/>
      <c r="C115" s="56"/>
      <c r="D115" s="56"/>
      <c r="E115" s="56"/>
      <c r="F115" s="56"/>
      <c r="G115" s="56"/>
      <c r="H115" s="56"/>
      <c r="I115" s="56"/>
      <c r="J115" s="56"/>
      <c r="K115" s="56"/>
    </row>
    <row r="116" spans="1:11" x14ac:dyDescent="0.2">
      <c r="A116" s="56"/>
      <c r="B116" s="56"/>
      <c r="C116" s="56"/>
      <c r="D116" s="56"/>
      <c r="E116" s="56"/>
      <c r="F116" s="56"/>
      <c r="G116" s="56"/>
      <c r="H116" s="56"/>
      <c r="I116" s="56"/>
      <c r="J116" s="56"/>
      <c r="K116" s="56"/>
    </row>
    <row r="117" spans="1:11" x14ac:dyDescent="0.2">
      <c r="A117" s="56"/>
      <c r="B117" s="56"/>
      <c r="C117" s="56"/>
      <c r="D117" s="56"/>
      <c r="E117" s="56"/>
      <c r="F117" s="56"/>
      <c r="G117" s="56"/>
      <c r="H117" s="56"/>
      <c r="I117" s="56"/>
      <c r="J117" s="56"/>
      <c r="K117" s="56"/>
    </row>
    <row r="118" spans="1:11" x14ac:dyDescent="0.2">
      <c r="A118" s="56"/>
      <c r="B118" s="56"/>
      <c r="C118" s="56"/>
      <c r="D118" s="56"/>
      <c r="E118" s="56"/>
      <c r="F118" s="56"/>
      <c r="G118" s="56"/>
      <c r="H118" s="56"/>
      <c r="I118" s="56"/>
      <c r="J118" s="56"/>
      <c r="K118" s="56"/>
    </row>
    <row r="119" spans="1:11" x14ac:dyDescent="0.2">
      <c r="A119" s="56"/>
      <c r="B119" s="56"/>
      <c r="C119" s="56"/>
      <c r="D119" s="56"/>
      <c r="E119" s="56"/>
      <c r="F119" s="56"/>
      <c r="G119" s="56"/>
      <c r="H119" s="56"/>
      <c r="I119" s="56"/>
      <c r="J119" s="56"/>
      <c r="K119" s="56"/>
    </row>
    <row r="120" spans="1:11" x14ac:dyDescent="0.2">
      <c r="A120" s="56"/>
      <c r="B120" s="56"/>
      <c r="C120" s="56"/>
      <c r="D120" s="56"/>
      <c r="E120" s="56"/>
      <c r="F120" s="56"/>
      <c r="G120" s="56"/>
      <c r="H120" s="56"/>
      <c r="I120" s="56"/>
      <c r="J120" s="56"/>
      <c r="K120" s="56"/>
    </row>
    <row r="121" spans="1:11" x14ac:dyDescent="0.2">
      <c r="A121" s="56"/>
      <c r="B121" s="56"/>
      <c r="C121" s="56"/>
      <c r="D121" s="56"/>
      <c r="E121" s="56"/>
      <c r="F121" s="56"/>
      <c r="G121" s="56"/>
      <c r="H121" s="56"/>
      <c r="I121" s="56"/>
      <c r="J121" s="56"/>
      <c r="K121" s="56"/>
    </row>
    <row r="122" spans="1:11" x14ac:dyDescent="0.2">
      <c r="A122" s="56"/>
      <c r="B122" s="56"/>
      <c r="C122" s="56"/>
      <c r="D122" s="56"/>
      <c r="E122" s="56"/>
      <c r="F122" s="56"/>
      <c r="G122" s="56"/>
      <c r="H122" s="56"/>
      <c r="I122" s="56"/>
      <c r="J122" s="56"/>
      <c r="K122" s="56"/>
    </row>
    <row r="123" spans="1:11" x14ac:dyDescent="0.2">
      <c r="A123" s="56"/>
      <c r="B123" s="56"/>
      <c r="C123" s="56"/>
      <c r="D123" s="56"/>
      <c r="E123" s="56"/>
      <c r="F123" s="56"/>
      <c r="G123" s="56"/>
      <c r="H123" s="56"/>
      <c r="I123" s="56"/>
      <c r="J123" s="56"/>
      <c r="K123" s="56"/>
    </row>
    <row r="124" spans="1:11" x14ac:dyDescent="0.2">
      <c r="A124" s="56"/>
      <c r="B124" s="56"/>
      <c r="C124" s="56"/>
      <c r="D124" s="56"/>
      <c r="E124" s="56"/>
      <c r="F124" s="56"/>
      <c r="G124" s="56"/>
      <c r="H124" s="56"/>
      <c r="I124" s="56"/>
      <c r="J124" s="56"/>
      <c r="K124" s="56"/>
    </row>
    <row r="125" spans="1:11" x14ac:dyDescent="0.2">
      <c r="A125" s="56"/>
      <c r="B125" s="56"/>
      <c r="C125" s="56"/>
      <c r="D125" s="56"/>
      <c r="E125" s="56"/>
      <c r="F125" s="56"/>
      <c r="G125" s="56"/>
      <c r="H125" s="56"/>
      <c r="I125" s="56"/>
      <c r="J125" s="56"/>
      <c r="K125" s="56"/>
    </row>
    <row r="126" spans="1:11" x14ac:dyDescent="0.2">
      <c r="A126" s="56"/>
      <c r="B126" s="56"/>
      <c r="C126" s="56"/>
      <c r="D126" s="56"/>
      <c r="E126" s="56"/>
      <c r="F126" s="56"/>
      <c r="G126" s="56"/>
      <c r="H126" s="56"/>
      <c r="I126" s="56"/>
      <c r="J126" s="56"/>
      <c r="K126" s="56"/>
    </row>
    <row r="127" spans="1:11" x14ac:dyDescent="0.2">
      <c r="A127" s="56"/>
      <c r="B127" s="56"/>
      <c r="C127" s="56"/>
      <c r="D127" s="56"/>
      <c r="E127" s="56"/>
      <c r="F127" s="56"/>
      <c r="G127" s="56"/>
      <c r="H127" s="56"/>
      <c r="I127" s="56"/>
      <c r="J127" s="56"/>
      <c r="K127" s="56"/>
    </row>
    <row r="128" spans="1:11" x14ac:dyDescent="0.2">
      <c r="A128" s="56"/>
      <c r="B128" s="56"/>
      <c r="C128" s="56"/>
      <c r="D128" s="56"/>
      <c r="E128" s="56"/>
      <c r="F128" s="56"/>
      <c r="G128" s="56"/>
      <c r="H128" s="56"/>
      <c r="I128" s="56"/>
      <c r="J128" s="56"/>
      <c r="K128" s="56"/>
    </row>
    <row r="129" spans="1:11" x14ac:dyDescent="0.2">
      <c r="A129" s="56"/>
      <c r="B129" s="56"/>
      <c r="C129" s="56"/>
      <c r="D129" s="56"/>
      <c r="E129" s="56"/>
      <c r="F129" s="56"/>
      <c r="G129" s="56"/>
      <c r="H129" s="56"/>
      <c r="I129" s="56"/>
      <c r="J129" s="56"/>
      <c r="K129" s="56"/>
    </row>
    <row r="130" spans="1:11" x14ac:dyDescent="0.2">
      <c r="A130" s="56"/>
      <c r="B130" s="56"/>
      <c r="C130" s="56"/>
      <c r="D130" s="56"/>
      <c r="E130" s="56"/>
      <c r="F130" s="56"/>
      <c r="G130" s="56"/>
      <c r="H130" s="56"/>
      <c r="I130" s="56"/>
      <c r="J130" s="56"/>
      <c r="K130" s="56"/>
    </row>
    <row r="131" spans="1:11" x14ac:dyDescent="0.2">
      <c r="A131" s="56"/>
      <c r="B131" s="56"/>
      <c r="C131" s="56"/>
      <c r="D131" s="56"/>
      <c r="E131" s="56"/>
      <c r="F131" s="56"/>
      <c r="G131" s="56"/>
      <c r="H131" s="56"/>
      <c r="I131" s="56"/>
      <c r="J131" s="56"/>
      <c r="K131" s="56"/>
    </row>
    <row r="132" spans="1:11" x14ac:dyDescent="0.2">
      <c r="A132" s="56"/>
      <c r="B132" s="56"/>
      <c r="C132" s="56"/>
      <c r="D132" s="56"/>
      <c r="E132" s="56"/>
      <c r="F132" s="56"/>
      <c r="G132" s="56"/>
      <c r="H132" s="56"/>
      <c r="I132" s="56"/>
      <c r="J132" s="56"/>
      <c r="K132" s="56"/>
    </row>
    <row r="133" spans="1:11" x14ac:dyDescent="0.2">
      <c r="A133" s="56"/>
      <c r="B133" s="56"/>
      <c r="C133" s="56"/>
      <c r="D133" s="56"/>
      <c r="E133" s="56"/>
      <c r="F133" s="56"/>
      <c r="G133" s="56"/>
      <c r="H133" s="56"/>
      <c r="I133" s="56"/>
      <c r="J133" s="56"/>
      <c r="K133" s="56"/>
    </row>
    <row r="134" spans="1:11" x14ac:dyDescent="0.2">
      <c r="A134" s="56"/>
      <c r="B134" s="56"/>
      <c r="C134" s="56"/>
      <c r="D134" s="56"/>
      <c r="E134" s="56"/>
      <c r="F134" s="56"/>
      <c r="G134" s="56"/>
      <c r="H134" s="56"/>
      <c r="I134" s="56"/>
      <c r="J134" s="56"/>
      <c r="K134" s="56"/>
    </row>
    <row r="135" spans="1:11" x14ac:dyDescent="0.2">
      <c r="A135" s="56"/>
      <c r="B135" s="56"/>
      <c r="C135" s="56"/>
      <c r="D135" s="56"/>
      <c r="E135" s="56"/>
      <c r="F135" s="56"/>
      <c r="G135" s="56"/>
      <c r="H135" s="56"/>
      <c r="I135" s="56"/>
      <c r="J135" s="56"/>
      <c r="K135" s="56"/>
    </row>
    <row r="136" spans="1:11" x14ac:dyDescent="0.2">
      <c r="A136" s="56"/>
      <c r="B136" s="56"/>
      <c r="C136" s="56"/>
      <c r="D136" s="56"/>
      <c r="E136" s="56"/>
      <c r="F136" s="56"/>
      <c r="G136" s="56"/>
      <c r="H136" s="56"/>
      <c r="I136" s="56"/>
      <c r="J136" s="56"/>
      <c r="K136" s="56"/>
    </row>
    <row r="137" spans="1:11" x14ac:dyDescent="0.2">
      <c r="A137" s="56"/>
      <c r="B137" s="56"/>
      <c r="C137" s="56"/>
      <c r="D137" s="56"/>
      <c r="E137" s="56"/>
      <c r="F137" s="56"/>
      <c r="G137" s="56"/>
      <c r="H137" s="56"/>
      <c r="I137" s="56"/>
      <c r="J137" s="56"/>
      <c r="K137" s="56"/>
    </row>
    <row r="138" spans="1:11" x14ac:dyDescent="0.2">
      <c r="A138" s="56"/>
      <c r="B138" s="56"/>
      <c r="C138" s="56"/>
      <c r="D138" s="56"/>
      <c r="E138" s="56"/>
      <c r="F138" s="56"/>
      <c r="G138" s="56"/>
      <c r="H138" s="56"/>
      <c r="I138" s="56"/>
      <c r="J138" s="56"/>
      <c r="K138" s="56"/>
    </row>
    <row r="139" spans="1:11" x14ac:dyDescent="0.2">
      <c r="A139" s="56"/>
      <c r="B139" s="56"/>
      <c r="C139" s="56"/>
      <c r="D139" s="56"/>
      <c r="E139" s="56"/>
      <c r="F139" s="56"/>
      <c r="G139" s="56"/>
      <c r="H139" s="56"/>
      <c r="I139" s="56"/>
      <c r="J139" s="56"/>
      <c r="K139" s="56"/>
    </row>
    <row r="140" spans="1:11" x14ac:dyDescent="0.2">
      <c r="A140" s="56"/>
      <c r="B140" s="56"/>
      <c r="C140" s="56"/>
      <c r="D140" s="56"/>
      <c r="E140" s="56"/>
      <c r="F140" s="56"/>
      <c r="G140" s="56"/>
      <c r="H140" s="56"/>
      <c r="I140" s="56"/>
      <c r="J140" s="56"/>
      <c r="K140" s="56"/>
    </row>
    <row r="141" spans="1:11" x14ac:dyDescent="0.2">
      <c r="A141" s="56"/>
      <c r="B141" s="56"/>
      <c r="C141" s="56"/>
      <c r="D141" s="56"/>
      <c r="E141" s="56"/>
      <c r="F141" s="56"/>
      <c r="G141" s="56"/>
      <c r="H141" s="56"/>
      <c r="I141" s="56"/>
      <c r="J141" s="56"/>
      <c r="K141" s="56"/>
    </row>
    <row r="142" spans="1:11" x14ac:dyDescent="0.2">
      <c r="A142" s="56"/>
      <c r="B142" s="56"/>
      <c r="C142" s="56"/>
      <c r="D142" s="56"/>
      <c r="E142" s="56"/>
      <c r="F142" s="56"/>
      <c r="G142" s="56"/>
      <c r="H142" s="56"/>
      <c r="I142" s="56"/>
      <c r="J142" s="56"/>
      <c r="K142" s="56"/>
    </row>
    <row r="143" spans="1:11" x14ac:dyDescent="0.2">
      <c r="A143" s="56"/>
      <c r="B143" s="56"/>
      <c r="C143" s="56"/>
      <c r="D143" s="56"/>
      <c r="E143" s="56"/>
      <c r="F143" s="56"/>
      <c r="G143" s="56"/>
      <c r="H143" s="56"/>
      <c r="I143" s="56"/>
      <c r="J143" s="56"/>
      <c r="K143" s="56"/>
    </row>
    <row r="144" spans="1:11" x14ac:dyDescent="0.2">
      <c r="A144" s="56"/>
      <c r="B144" s="56"/>
      <c r="C144" s="56"/>
      <c r="D144" s="56"/>
      <c r="E144" s="56"/>
      <c r="F144" s="56"/>
      <c r="G144" s="56"/>
      <c r="H144" s="56"/>
      <c r="I144" s="56"/>
      <c r="J144" s="56"/>
      <c r="K144" s="56"/>
    </row>
    <row r="145" spans="1:11" x14ac:dyDescent="0.2">
      <c r="A145" s="56"/>
      <c r="B145" s="56"/>
      <c r="C145" s="56"/>
      <c r="D145" s="56"/>
      <c r="E145" s="56"/>
      <c r="F145" s="56"/>
      <c r="G145" s="56"/>
      <c r="H145" s="56"/>
      <c r="I145" s="56"/>
      <c r="J145" s="56"/>
      <c r="K145" s="56"/>
    </row>
    <row r="146" spans="1:11" x14ac:dyDescent="0.2">
      <c r="A146" s="56"/>
      <c r="B146" s="56"/>
      <c r="C146" s="56"/>
      <c r="D146" s="56"/>
      <c r="E146" s="56"/>
      <c r="F146" s="56"/>
      <c r="G146" s="56"/>
      <c r="H146" s="56"/>
      <c r="I146" s="56"/>
      <c r="J146" s="56"/>
      <c r="K146" s="56"/>
    </row>
    <row r="147" spans="1:11" x14ac:dyDescent="0.2">
      <c r="A147" s="56"/>
      <c r="B147" s="56"/>
      <c r="C147" s="56"/>
      <c r="D147" s="56"/>
      <c r="E147" s="56"/>
      <c r="F147" s="56"/>
      <c r="G147" s="56"/>
      <c r="H147" s="56"/>
      <c r="I147" s="56"/>
      <c r="J147" s="56"/>
      <c r="K147" s="56"/>
    </row>
    <row r="148" spans="1:11" x14ac:dyDescent="0.2">
      <c r="A148" s="56"/>
      <c r="B148" s="56"/>
      <c r="C148" s="56"/>
      <c r="D148" s="56"/>
      <c r="E148" s="56"/>
      <c r="F148" s="56"/>
      <c r="G148" s="56"/>
      <c r="H148" s="56"/>
      <c r="I148" s="56"/>
      <c r="J148" s="56"/>
      <c r="K148" s="56"/>
    </row>
    <row r="149" spans="1:11" x14ac:dyDescent="0.2">
      <c r="A149" s="56"/>
      <c r="B149" s="56"/>
      <c r="C149" s="56"/>
      <c r="D149" s="56"/>
      <c r="E149" s="56"/>
      <c r="F149" s="56"/>
      <c r="G149" s="56"/>
      <c r="H149" s="56"/>
      <c r="I149" s="56"/>
      <c r="J149" s="56"/>
      <c r="K149" s="56"/>
    </row>
    <row r="150" spans="1:11" x14ac:dyDescent="0.2">
      <c r="A150" s="56"/>
      <c r="B150" s="56"/>
      <c r="C150" s="56"/>
      <c r="D150" s="56"/>
      <c r="E150" s="56"/>
      <c r="F150" s="56"/>
      <c r="G150" s="56"/>
      <c r="H150" s="56"/>
      <c r="I150" s="56"/>
      <c r="J150" s="56"/>
      <c r="K150" s="56"/>
    </row>
    <row r="151" spans="1:11" x14ac:dyDescent="0.2">
      <c r="A151" s="56"/>
      <c r="B151" s="56"/>
      <c r="C151" s="56"/>
      <c r="D151" s="56"/>
      <c r="E151" s="56"/>
      <c r="F151" s="56"/>
      <c r="G151" s="56"/>
      <c r="H151" s="56"/>
      <c r="I151" s="56"/>
      <c r="J151" s="56"/>
      <c r="K151" s="56"/>
    </row>
    <row r="152" spans="1:11" x14ac:dyDescent="0.2">
      <c r="A152" s="56"/>
      <c r="B152" s="56"/>
      <c r="C152" s="56"/>
      <c r="D152" s="56"/>
      <c r="E152" s="56"/>
      <c r="F152" s="56"/>
      <c r="G152" s="56"/>
      <c r="H152" s="56"/>
      <c r="I152" s="56"/>
      <c r="J152" s="56"/>
      <c r="K152" s="56"/>
    </row>
    <row r="153" spans="1:11" x14ac:dyDescent="0.2">
      <c r="A153" s="56"/>
      <c r="B153" s="56"/>
      <c r="C153" s="56"/>
      <c r="D153" s="56"/>
      <c r="E153" s="56"/>
      <c r="F153" s="56"/>
      <c r="G153" s="56"/>
      <c r="H153" s="56"/>
      <c r="I153" s="56"/>
      <c r="J153" s="56"/>
      <c r="K153" s="56"/>
    </row>
    <row r="154" spans="1:11" x14ac:dyDescent="0.2">
      <c r="A154" s="56"/>
      <c r="B154" s="56"/>
      <c r="C154" s="56"/>
      <c r="D154" s="56"/>
      <c r="E154" s="56"/>
      <c r="F154" s="56"/>
      <c r="G154" s="56"/>
      <c r="H154" s="56"/>
      <c r="I154" s="56"/>
      <c r="J154" s="56"/>
      <c r="K154" s="56"/>
    </row>
    <row r="155" spans="1:11" x14ac:dyDescent="0.2">
      <c r="A155" s="56"/>
      <c r="B155" s="56"/>
      <c r="C155" s="56"/>
      <c r="D155" s="56"/>
      <c r="E155" s="56"/>
      <c r="F155" s="56"/>
      <c r="G155" s="56"/>
      <c r="H155" s="56"/>
      <c r="I155" s="56"/>
      <c r="J155" s="56"/>
      <c r="K155" s="56"/>
    </row>
    <row r="156" spans="1:11" x14ac:dyDescent="0.2">
      <c r="A156" s="56"/>
      <c r="B156" s="56"/>
      <c r="C156" s="56"/>
      <c r="D156" s="56"/>
      <c r="E156" s="56"/>
      <c r="F156" s="56"/>
      <c r="G156" s="56"/>
      <c r="H156" s="56"/>
      <c r="I156" s="56"/>
      <c r="J156" s="56"/>
      <c r="K156" s="56"/>
    </row>
    <row r="157" spans="1:11" x14ac:dyDescent="0.2">
      <c r="A157" s="56"/>
      <c r="B157" s="56"/>
      <c r="C157" s="56"/>
      <c r="D157" s="56"/>
      <c r="E157" s="56"/>
      <c r="F157" s="56"/>
      <c r="G157" s="56"/>
      <c r="H157" s="56"/>
      <c r="I157" s="56"/>
      <c r="J157" s="56"/>
      <c r="K157" s="56"/>
    </row>
    <row r="158" spans="1:11" x14ac:dyDescent="0.2">
      <c r="A158" s="56"/>
      <c r="B158" s="56"/>
      <c r="C158" s="56"/>
      <c r="D158" s="56"/>
      <c r="E158" s="56"/>
      <c r="F158" s="56"/>
      <c r="G158" s="56"/>
      <c r="H158" s="56"/>
      <c r="I158" s="56"/>
      <c r="J158" s="56"/>
      <c r="K158" s="56"/>
    </row>
    <row r="159" spans="1:11" x14ac:dyDescent="0.2">
      <c r="A159" s="56"/>
      <c r="B159" s="56"/>
      <c r="C159" s="56"/>
      <c r="D159" s="56"/>
      <c r="E159" s="56"/>
      <c r="F159" s="56"/>
      <c r="G159" s="56"/>
      <c r="H159" s="56"/>
      <c r="I159" s="56"/>
      <c r="J159" s="56"/>
      <c r="K159" s="56"/>
    </row>
    <row r="160" spans="1:11" x14ac:dyDescent="0.2">
      <c r="A160" s="56"/>
      <c r="B160" s="56"/>
      <c r="C160" s="56"/>
      <c r="D160" s="56"/>
      <c r="E160" s="56"/>
      <c r="F160" s="56"/>
      <c r="G160" s="56"/>
      <c r="H160" s="56"/>
      <c r="I160" s="56"/>
      <c r="J160" s="56"/>
      <c r="K160" s="56"/>
    </row>
    <row r="161" spans="1:11" x14ac:dyDescent="0.2">
      <c r="A161" s="56"/>
      <c r="B161" s="56"/>
      <c r="C161" s="56"/>
      <c r="D161" s="56"/>
      <c r="E161" s="56"/>
      <c r="F161" s="56"/>
      <c r="G161" s="56"/>
      <c r="H161" s="56"/>
      <c r="I161" s="56"/>
      <c r="J161" s="56"/>
      <c r="K161" s="56"/>
    </row>
    <row r="162" spans="1:11" x14ac:dyDescent="0.2">
      <c r="A162" s="56"/>
      <c r="B162" s="56"/>
      <c r="C162" s="56"/>
      <c r="D162" s="56"/>
      <c r="E162" s="56"/>
      <c r="F162" s="56"/>
      <c r="G162" s="56"/>
      <c r="H162" s="56"/>
      <c r="I162" s="56"/>
      <c r="J162" s="56"/>
      <c r="K162" s="56"/>
    </row>
    <row r="163" spans="1:11" x14ac:dyDescent="0.2">
      <c r="A163" s="56"/>
      <c r="B163" s="56"/>
      <c r="C163" s="56"/>
      <c r="D163" s="56"/>
      <c r="E163" s="56"/>
      <c r="F163" s="56"/>
      <c r="G163" s="56"/>
      <c r="H163" s="56"/>
      <c r="I163" s="56"/>
      <c r="J163" s="56"/>
      <c r="K163" s="56"/>
    </row>
    <row r="164" spans="1:11" x14ac:dyDescent="0.2">
      <c r="A164" s="56"/>
      <c r="B164" s="56"/>
      <c r="C164" s="56"/>
      <c r="D164" s="56"/>
      <c r="E164" s="56"/>
      <c r="F164" s="56"/>
      <c r="G164" s="56"/>
      <c r="H164" s="56"/>
      <c r="I164" s="56"/>
      <c r="J164" s="56"/>
      <c r="K164" s="56"/>
    </row>
    <row r="165" spans="1:11" x14ac:dyDescent="0.2">
      <c r="A165" s="56"/>
      <c r="B165" s="56"/>
      <c r="C165" s="56"/>
      <c r="D165" s="56"/>
      <c r="E165" s="56"/>
      <c r="F165" s="56"/>
      <c r="G165" s="56"/>
      <c r="H165" s="56"/>
      <c r="I165" s="56"/>
      <c r="J165" s="56"/>
      <c r="K165" s="56"/>
    </row>
    <row r="166" spans="1:11" x14ac:dyDescent="0.2">
      <c r="A166" s="56"/>
      <c r="B166" s="56"/>
      <c r="C166" s="56"/>
      <c r="D166" s="56"/>
      <c r="E166" s="56"/>
      <c r="F166" s="56"/>
      <c r="G166" s="56"/>
      <c r="H166" s="56"/>
      <c r="I166" s="56"/>
      <c r="J166" s="56"/>
      <c r="K166" s="56"/>
    </row>
    <row r="167" spans="1:11" x14ac:dyDescent="0.2">
      <c r="A167" s="56"/>
      <c r="B167" s="56"/>
      <c r="C167" s="56"/>
      <c r="D167" s="56"/>
      <c r="E167" s="56"/>
      <c r="F167" s="56"/>
      <c r="G167" s="56"/>
      <c r="H167" s="56"/>
      <c r="I167" s="56"/>
      <c r="J167" s="56"/>
      <c r="K167" s="56"/>
    </row>
    <row r="168" spans="1:11" x14ac:dyDescent="0.2">
      <c r="A168" s="56"/>
      <c r="B168" s="56"/>
      <c r="C168" s="56"/>
      <c r="D168" s="56"/>
      <c r="E168" s="56"/>
      <c r="F168" s="56"/>
      <c r="G168" s="56"/>
      <c r="H168" s="56"/>
      <c r="I168" s="56"/>
      <c r="J168" s="56"/>
      <c r="K168" s="56"/>
    </row>
    <row r="169" spans="1:11" x14ac:dyDescent="0.2">
      <c r="A169" s="56"/>
      <c r="B169" s="56"/>
      <c r="C169" s="56"/>
      <c r="D169" s="56"/>
      <c r="E169" s="56"/>
      <c r="F169" s="56"/>
      <c r="G169" s="56"/>
      <c r="H169" s="56"/>
      <c r="I169" s="56"/>
      <c r="J169" s="56"/>
      <c r="K169" s="56"/>
    </row>
    <row r="170" spans="1:11" x14ac:dyDescent="0.2">
      <c r="A170" s="56"/>
      <c r="B170" s="56"/>
      <c r="C170" s="56"/>
      <c r="D170" s="56"/>
      <c r="E170" s="56"/>
      <c r="F170" s="56"/>
      <c r="G170" s="56"/>
      <c r="H170" s="56"/>
      <c r="I170" s="56"/>
      <c r="J170" s="56"/>
      <c r="K170" s="56"/>
    </row>
    <row r="171" spans="1:11" x14ac:dyDescent="0.2">
      <c r="A171" s="56"/>
      <c r="B171" s="56"/>
      <c r="C171" s="56"/>
      <c r="D171" s="56"/>
      <c r="E171" s="56"/>
      <c r="F171" s="56"/>
      <c r="G171" s="56"/>
      <c r="H171" s="56"/>
      <c r="I171" s="56"/>
      <c r="J171" s="56"/>
      <c r="K171" s="56"/>
    </row>
    <row r="172" spans="1:11" x14ac:dyDescent="0.2">
      <c r="A172" s="56"/>
      <c r="B172" s="56"/>
      <c r="C172" s="56"/>
      <c r="D172" s="56"/>
      <c r="E172" s="56"/>
      <c r="F172" s="56"/>
      <c r="G172" s="56"/>
      <c r="H172" s="56"/>
      <c r="I172" s="56"/>
      <c r="J172" s="56"/>
      <c r="K172" s="56"/>
    </row>
    <row r="173" spans="1:11" x14ac:dyDescent="0.2">
      <c r="A173" s="56"/>
      <c r="B173" s="56"/>
      <c r="C173" s="56"/>
      <c r="D173" s="56"/>
      <c r="E173" s="56"/>
      <c r="F173" s="56"/>
      <c r="G173" s="56"/>
      <c r="H173" s="56"/>
      <c r="I173" s="56"/>
      <c r="J173" s="56"/>
      <c r="K173" s="56"/>
    </row>
    <row r="174" spans="1:11" x14ac:dyDescent="0.2">
      <c r="A174" s="56"/>
      <c r="B174" s="56"/>
      <c r="C174" s="56"/>
      <c r="D174" s="56"/>
      <c r="E174" s="56"/>
      <c r="F174" s="56"/>
      <c r="G174" s="56"/>
      <c r="H174" s="56"/>
      <c r="I174" s="56"/>
      <c r="J174" s="56"/>
      <c r="K174" s="56"/>
    </row>
    <row r="175" spans="1:11" x14ac:dyDescent="0.2">
      <c r="A175" s="56"/>
      <c r="B175" s="56"/>
      <c r="C175" s="56"/>
      <c r="D175" s="56"/>
      <c r="E175" s="56"/>
      <c r="F175" s="56"/>
      <c r="G175" s="56"/>
      <c r="H175" s="56"/>
      <c r="I175" s="56"/>
      <c r="J175" s="56"/>
      <c r="K175" s="56"/>
    </row>
    <row r="176" spans="1:11" x14ac:dyDescent="0.2">
      <c r="A176" s="56"/>
      <c r="B176" s="56"/>
      <c r="C176" s="56"/>
      <c r="D176" s="56"/>
      <c r="E176" s="56"/>
      <c r="F176" s="56"/>
      <c r="G176" s="56"/>
      <c r="H176" s="56"/>
      <c r="I176" s="56"/>
      <c r="J176" s="56"/>
      <c r="K176" s="56"/>
    </row>
    <row r="177" spans="1:11" x14ac:dyDescent="0.2">
      <c r="A177" s="56"/>
      <c r="B177" s="56"/>
      <c r="C177" s="56"/>
      <c r="D177" s="56"/>
      <c r="E177" s="56"/>
      <c r="F177" s="56"/>
      <c r="G177" s="56"/>
      <c r="H177" s="56"/>
      <c r="I177" s="56"/>
      <c r="J177" s="56"/>
      <c r="K177" s="56"/>
    </row>
    <row r="178" spans="1:11" x14ac:dyDescent="0.2">
      <c r="A178" s="56"/>
      <c r="B178" s="56"/>
      <c r="C178" s="56"/>
      <c r="D178" s="56"/>
      <c r="E178" s="56"/>
      <c r="F178" s="56"/>
      <c r="G178" s="56"/>
      <c r="H178" s="56"/>
      <c r="I178" s="56"/>
      <c r="J178" s="56"/>
      <c r="K178" s="56"/>
    </row>
    <row r="179" spans="1:11" x14ac:dyDescent="0.2">
      <c r="A179" s="56"/>
      <c r="B179" s="56"/>
      <c r="C179" s="56"/>
      <c r="D179" s="56"/>
      <c r="E179" s="56"/>
      <c r="F179" s="56"/>
      <c r="G179" s="56"/>
      <c r="H179" s="56"/>
      <c r="I179" s="56"/>
      <c r="J179" s="56"/>
      <c r="K179" s="56"/>
    </row>
    <row r="180" spans="1:11" x14ac:dyDescent="0.2">
      <c r="A180" s="56"/>
      <c r="B180" s="56"/>
      <c r="C180" s="56"/>
      <c r="D180" s="56"/>
      <c r="E180" s="56"/>
      <c r="F180" s="56"/>
      <c r="G180" s="56"/>
      <c r="H180" s="56"/>
      <c r="I180" s="56"/>
      <c r="J180" s="56"/>
      <c r="K180" s="56"/>
    </row>
    <row r="181" spans="1:11" x14ac:dyDescent="0.2">
      <c r="A181" s="56"/>
      <c r="B181" s="56"/>
      <c r="C181" s="56"/>
      <c r="D181" s="56"/>
      <c r="E181" s="56"/>
      <c r="F181" s="56"/>
      <c r="G181" s="56"/>
      <c r="H181" s="56"/>
      <c r="I181" s="56"/>
      <c r="J181" s="56"/>
      <c r="K181" s="56"/>
    </row>
    <row r="182" spans="1:11" x14ac:dyDescent="0.2">
      <c r="A182" s="56"/>
      <c r="B182" s="56"/>
      <c r="C182" s="56"/>
      <c r="D182" s="56"/>
      <c r="E182" s="56"/>
      <c r="F182" s="56"/>
      <c r="G182" s="56"/>
      <c r="H182" s="56"/>
      <c r="I182" s="56"/>
      <c r="J182" s="56"/>
      <c r="K182" s="56"/>
    </row>
    <row r="183" spans="1:11" x14ac:dyDescent="0.2">
      <c r="A183" s="56"/>
      <c r="B183" s="56"/>
      <c r="C183" s="56"/>
      <c r="D183" s="56"/>
      <c r="E183" s="56"/>
      <c r="F183" s="56"/>
      <c r="G183" s="56"/>
      <c r="H183" s="56"/>
      <c r="I183" s="56"/>
      <c r="J183" s="56"/>
      <c r="K183" s="56"/>
    </row>
    <row r="184" spans="1:11" x14ac:dyDescent="0.2">
      <c r="A184" s="56"/>
      <c r="B184" s="56"/>
      <c r="C184" s="56"/>
      <c r="D184" s="56"/>
      <c r="E184" s="56"/>
      <c r="F184" s="56"/>
      <c r="G184" s="56"/>
      <c r="H184" s="56"/>
      <c r="I184" s="56"/>
      <c r="J184" s="56"/>
      <c r="K184" s="56"/>
    </row>
    <row r="185" spans="1:11" x14ac:dyDescent="0.2">
      <c r="A185" s="56"/>
      <c r="B185" s="56"/>
      <c r="C185" s="56"/>
      <c r="D185" s="56"/>
      <c r="E185" s="56"/>
      <c r="F185" s="56"/>
      <c r="G185" s="56"/>
      <c r="H185" s="56"/>
      <c r="I185" s="56"/>
      <c r="J185" s="56"/>
      <c r="K185" s="56"/>
    </row>
    <row r="186" spans="1:11" x14ac:dyDescent="0.2">
      <c r="A186" s="56"/>
      <c r="B186" s="56"/>
      <c r="C186" s="56"/>
      <c r="D186" s="56"/>
      <c r="E186" s="56"/>
      <c r="F186" s="56"/>
      <c r="G186" s="56"/>
      <c r="H186" s="56"/>
      <c r="I186" s="56"/>
      <c r="J186" s="56"/>
      <c r="K186" s="56"/>
    </row>
    <row r="187" spans="1:11" x14ac:dyDescent="0.2">
      <c r="A187" s="56"/>
      <c r="B187" s="56"/>
      <c r="C187" s="56"/>
      <c r="D187" s="56"/>
      <c r="E187" s="56"/>
      <c r="F187" s="56"/>
      <c r="G187" s="56"/>
      <c r="H187" s="56"/>
      <c r="I187" s="56"/>
      <c r="J187" s="56"/>
      <c r="K187" s="56"/>
    </row>
    <row r="188" spans="1:11" x14ac:dyDescent="0.2">
      <c r="A188" s="56"/>
      <c r="B188" s="56"/>
      <c r="C188" s="56"/>
      <c r="D188" s="56"/>
      <c r="E188" s="56"/>
      <c r="F188" s="56"/>
      <c r="G188" s="56"/>
      <c r="H188" s="56"/>
      <c r="I188" s="56"/>
      <c r="J188" s="56"/>
      <c r="K188" s="56"/>
    </row>
    <row r="189" spans="1:11" x14ac:dyDescent="0.2">
      <c r="A189" s="56"/>
      <c r="B189" s="56"/>
      <c r="C189" s="56"/>
      <c r="D189" s="56"/>
      <c r="E189" s="56"/>
      <c r="F189" s="56"/>
      <c r="G189" s="56"/>
      <c r="H189" s="56"/>
      <c r="I189" s="56"/>
      <c r="J189" s="56"/>
      <c r="K189" s="56"/>
    </row>
    <row r="190" spans="1:11" x14ac:dyDescent="0.2">
      <c r="A190" s="56"/>
      <c r="B190" s="56"/>
      <c r="C190" s="56"/>
      <c r="D190" s="56"/>
      <c r="E190" s="56"/>
      <c r="F190" s="56"/>
      <c r="G190" s="56"/>
      <c r="H190" s="56"/>
      <c r="I190" s="56"/>
      <c r="J190" s="56"/>
      <c r="K190" s="56"/>
    </row>
    <row r="191" spans="1:11" x14ac:dyDescent="0.2">
      <c r="A191" s="56"/>
      <c r="B191" s="56"/>
      <c r="C191" s="56"/>
      <c r="D191" s="56"/>
      <c r="E191" s="56"/>
      <c r="F191" s="56"/>
      <c r="G191" s="56"/>
      <c r="H191" s="56"/>
      <c r="I191" s="56"/>
      <c r="J191" s="56"/>
      <c r="K191" s="56"/>
    </row>
    <row r="192" spans="1:11" x14ac:dyDescent="0.2">
      <c r="A192" s="56"/>
      <c r="B192" s="56"/>
      <c r="C192" s="56"/>
      <c r="D192" s="56"/>
      <c r="E192" s="56"/>
      <c r="F192" s="56"/>
      <c r="G192" s="56"/>
      <c r="H192" s="56"/>
      <c r="I192" s="56"/>
      <c r="J192" s="56"/>
      <c r="K192" s="56"/>
    </row>
    <row r="193" spans="1:11" x14ac:dyDescent="0.2">
      <c r="A193" s="56"/>
      <c r="B193" s="56"/>
      <c r="C193" s="56"/>
      <c r="D193" s="56"/>
      <c r="E193" s="56"/>
      <c r="F193" s="56"/>
      <c r="G193" s="56"/>
      <c r="H193" s="56"/>
      <c r="I193" s="56"/>
      <c r="J193" s="56"/>
      <c r="K193" s="56"/>
    </row>
    <row r="194" spans="1:11" x14ac:dyDescent="0.2">
      <c r="A194" s="56"/>
      <c r="B194" s="56"/>
      <c r="C194" s="56"/>
      <c r="D194" s="56"/>
      <c r="E194" s="56"/>
      <c r="F194" s="56"/>
      <c r="G194" s="56"/>
      <c r="H194" s="56"/>
      <c r="I194" s="56"/>
      <c r="J194" s="56"/>
      <c r="K194" s="56"/>
    </row>
    <row r="195" spans="1:11" x14ac:dyDescent="0.2">
      <c r="A195" s="56"/>
      <c r="B195" s="56"/>
      <c r="C195" s="56"/>
      <c r="D195" s="56"/>
      <c r="E195" s="56"/>
      <c r="F195" s="56"/>
      <c r="G195" s="56"/>
      <c r="H195" s="56"/>
      <c r="I195" s="56"/>
      <c r="J195" s="56"/>
      <c r="K195" s="56"/>
    </row>
    <row r="196" spans="1:11" x14ac:dyDescent="0.2">
      <c r="A196" s="56"/>
      <c r="B196" s="56"/>
      <c r="C196" s="56"/>
      <c r="D196" s="56"/>
      <c r="E196" s="56"/>
      <c r="F196" s="56"/>
      <c r="G196" s="56"/>
      <c r="H196" s="56"/>
      <c r="I196" s="56"/>
      <c r="J196" s="56"/>
      <c r="K196" s="56"/>
    </row>
    <row r="197" spans="1:11" x14ac:dyDescent="0.2">
      <c r="A197" s="56"/>
      <c r="B197" s="56"/>
      <c r="C197" s="56"/>
      <c r="D197" s="56"/>
      <c r="E197" s="56"/>
      <c r="F197" s="56"/>
      <c r="G197" s="56"/>
      <c r="H197" s="56"/>
      <c r="I197" s="56"/>
      <c r="J197" s="56"/>
      <c r="K197" s="56"/>
    </row>
    <row r="198" spans="1:11" x14ac:dyDescent="0.2">
      <c r="A198" s="56"/>
      <c r="B198" s="56"/>
      <c r="C198" s="56"/>
      <c r="D198" s="56"/>
      <c r="E198" s="56"/>
      <c r="F198" s="56"/>
      <c r="G198" s="56"/>
      <c r="H198" s="56"/>
      <c r="I198" s="56"/>
      <c r="J198" s="56"/>
      <c r="K198" s="56"/>
    </row>
    <row r="199" spans="1:11" x14ac:dyDescent="0.2">
      <c r="A199" s="56"/>
      <c r="B199" s="56"/>
      <c r="C199" s="56"/>
      <c r="D199" s="56"/>
      <c r="E199" s="56"/>
      <c r="F199" s="56"/>
      <c r="G199" s="56"/>
      <c r="H199" s="56"/>
      <c r="I199" s="56"/>
      <c r="J199" s="56"/>
      <c r="K199" s="56"/>
    </row>
    <row r="200" spans="1:11" x14ac:dyDescent="0.2">
      <c r="A200" s="56"/>
      <c r="B200" s="56"/>
      <c r="C200" s="56"/>
      <c r="D200" s="56"/>
      <c r="E200" s="56"/>
      <c r="F200" s="56"/>
      <c r="G200" s="56"/>
      <c r="H200" s="56"/>
      <c r="I200" s="56"/>
      <c r="J200" s="56"/>
      <c r="K200" s="56"/>
    </row>
    <row r="201" spans="1:11" x14ac:dyDescent="0.2">
      <c r="A201" s="56"/>
      <c r="B201" s="56"/>
      <c r="C201" s="56"/>
      <c r="D201" s="56"/>
      <c r="E201" s="56"/>
      <c r="F201" s="56"/>
      <c r="G201" s="56"/>
      <c r="H201" s="56"/>
      <c r="I201" s="56"/>
      <c r="J201" s="56"/>
      <c r="K201" s="56"/>
    </row>
    <row r="202" spans="1:11" x14ac:dyDescent="0.2">
      <c r="A202" s="56"/>
      <c r="B202" s="56"/>
      <c r="C202" s="56"/>
      <c r="D202" s="56"/>
      <c r="E202" s="56"/>
      <c r="F202" s="56"/>
      <c r="G202" s="56"/>
      <c r="H202" s="56"/>
      <c r="I202" s="56"/>
      <c r="J202" s="56"/>
      <c r="K202" s="56"/>
    </row>
    <row r="203" spans="1:11" x14ac:dyDescent="0.2">
      <c r="A203" s="56"/>
      <c r="B203" s="56"/>
      <c r="C203" s="56"/>
      <c r="D203" s="56"/>
      <c r="E203" s="56"/>
      <c r="F203" s="56"/>
      <c r="G203" s="56"/>
      <c r="H203" s="56"/>
      <c r="I203" s="56"/>
      <c r="J203" s="56"/>
      <c r="K203" s="56"/>
    </row>
    <row r="204" spans="1:11" x14ac:dyDescent="0.2">
      <c r="A204" s="56"/>
      <c r="B204" s="56"/>
      <c r="C204" s="56"/>
      <c r="D204" s="56"/>
      <c r="E204" s="56"/>
      <c r="F204" s="56"/>
      <c r="G204" s="56"/>
      <c r="H204" s="56"/>
      <c r="I204" s="56"/>
      <c r="J204" s="56"/>
      <c r="K204" s="56"/>
    </row>
    <row r="205" spans="1:11" x14ac:dyDescent="0.2">
      <c r="A205" s="56"/>
      <c r="B205" s="56"/>
      <c r="C205" s="56"/>
      <c r="D205" s="56"/>
      <c r="E205" s="56"/>
      <c r="F205" s="56"/>
      <c r="G205" s="56"/>
      <c r="H205" s="56"/>
      <c r="I205" s="56"/>
      <c r="J205" s="56"/>
      <c r="K205" s="56"/>
    </row>
    <row r="206" spans="1:11" x14ac:dyDescent="0.2">
      <c r="A206" s="56"/>
      <c r="B206" s="56"/>
      <c r="C206" s="56"/>
      <c r="D206" s="56"/>
      <c r="E206" s="56"/>
      <c r="F206" s="56"/>
      <c r="G206" s="56"/>
      <c r="H206" s="56"/>
      <c r="I206" s="56"/>
      <c r="J206" s="56"/>
      <c r="K206" s="56"/>
    </row>
    <row r="207" spans="1:11" x14ac:dyDescent="0.2">
      <c r="A207" s="56"/>
      <c r="B207" s="56"/>
      <c r="C207" s="56"/>
      <c r="D207" s="56"/>
      <c r="E207" s="56"/>
      <c r="F207" s="56"/>
      <c r="G207" s="56"/>
      <c r="H207" s="56"/>
      <c r="I207" s="56"/>
      <c r="J207" s="56"/>
      <c r="K207" s="56"/>
    </row>
    <row r="208" spans="1:11" x14ac:dyDescent="0.2">
      <c r="A208" s="56"/>
      <c r="B208" s="56"/>
      <c r="C208" s="56"/>
      <c r="D208" s="56"/>
      <c r="E208" s="56"/>
      <c r="F208" s="56"/>
      <c r="G208" s="56"/>
      <c r="H208" s="56"/>
      <c r="I208" s="56"/>
      <c r="J208" s="56"/>
      <c r="K208" s="56"/>
    </row>
    <row r="209" spans="1:11" x14ac:dyDescent="0.2">
      <c r="A209" s="56"/>
      <c r="B209" s="56"/>
      <c r="C209" s="56"/>
      <c r="D209" s="56"/>
      <c r="E209" s="56"/>
      <c r="F209" s="56"/>
      <c r="G209" s="56"/>
      <c r="H209" s="56"/>
      <c r="I209" s="56"/>
      <c r="J209" s="56"/>
      <c r="K209" s="56"/>
    </row>
    <row r="210" spans="1:11" x14ac:dyDescent="0.2">
      <c r="A210" s="56"/>
      <c r="B210" s="56"/>
      <c r="C210" s="56"/>
      <c r="D210" s="56"/>
      <c r="E210" s="56"/>
      <c r="F210" s="56"/>
      <c r="G210" s="56"/>
      <c r="H210" s="56"/>
      <c r="I210" s="56"/>
      <c r="J210" s="56"/>
      <c r="K210" s="56"/>
    </row>
    <row r="211" spans="1:11" x14ac:dyDescent="0.2">
      <c r="A211" s="56"/>
      <c r="B211" s="56"/>
      <c r="C211" s="56"/>
      <c r="D211" s="56"/>
      <c r="E211" s="56"/>
      <c r="F211" s="56"/>
      <c r="G211" s="56"/>
      <c r="H211" s="56"/>
      <c r="I211" s="56"/>
      <c r="J211" s="56"/>
      <c r="K211" s="56"/>
    </row>
    <row r="212" spans="1:11" x14ac:dyDescent="0.2">
      <c r="A212" s="56"/>
      <c r="B212" s="56"/>
      <c r="C212" s="56"/>
      <c r="D212" s="56"/>
      <c r="E212" s="56"/>
      <c r="F212" s="56"/>
      <c r="G212" s="56"/>
      <c r="H212" s="56"/>
      <c r="I212" s="56"/>
      <c r="J212" s="56"/>
      <c r="K212" s="56"/>
    </row>
    <row r="213" spans="1:11" x14ac:dyDescent="0.2">
      <c r="A213" s="56"/>
      <c r="B213" s="56"/>
      <c r="C213" s="56"/>
      <c r="D213" s="56"/>
      <c r="E213" s="56"/>
      <c r="F213" s="56"/>
      <c r="G213" s="56"/>
      <c r="H213" s="56"/>
      <c r="I213" s="56"/>
      <c r="J213" s="56"/>
      <c r="K213" s="56"/>
    </row>
    <row r="214" spans="1:11" x14ac:dyDescent="0.2">
      <c r="A214" s="56"/>
      <c r="B214" s="56"/>
      <c r="C214" s="56"/>
      <c r="D214" s="56"/>
      <c r="E214" s="56"/>
      <c r="F214" s="56"/>
      <c r="G214" s="56"/>
      <c r="H214" s="56"/>
      <c r="I214" s="56"/>
      <c r="J214" s="56"/>
      <c r="K214" s="56"/>
    </row>
    <row r="215" spans="1:11" x14ac:dyDescent="0.2">
      <c r="A215" s="56"/>
      <c r="B215" s="56"/>
      <c r="C215" s="56"/>
      <c r="D215" s="56"/>
      <c r="E215" s="56"/>
      <c r="F215" s="56"/>
      <c r="G215" s="56"/>
      <c r="H215" s="56"/>
      <c r="I215" s="56"/>
      <c r="J215" s="56"/>
      <c r="K215" s="56"/>
    </row>
    <row r="216" spans="1:11" x14ac:dyDescent="0.2">
      <c r="A216" s="56"/>
      <c r="B216" s="56"/>
      <c r="C216" s="56"/>
      <c r="D216" s="56"/>
      <c r="E216" s="56"/>
      <c r="F216" s="56"/>
      <c r="G216" s="56"/>
      <c r="H216" s="56"/>
      <c r="I216" s="56"/>
      <c r="J216" s="56"/>
      <c r="K216" s="56"/>
    </row>
    <row r="217" spans="1:11" x14ac:dyDescent="0.2">
      <c r="A217" s="56"/>
      <c r="B217" s="56"/>
      <c r="C217" s="56"/>
      <c r="D217" s="56"/>
      <c r="E217" s="56"/>
      <c r="F217" s="56"/>
      <c r="G217" s="56"/>
      <c r="H217" s="56"/>
      <c r="I217" s="56"/>
      <c r="J217" s="56"/>
      <c r="K217" s="56"/>
    </row>
    <row r="218" spans="1:11" x14ac:dyDescent="0.2">
      <c r="A218" s="56"/>
      <c r="B218" s="56"/>
      <c r="C218" s="56"/>
      <c r="D218" s="56"/>
      <c r="E218" s="56"/>
      <c r="F218" s="56"/>
      <c r="G218" s="56"/>
      <c r="H218" s="56"/>
      <c r="I218" s="56"/>
      <c r="J218" s="56"/>
      <c r="K218" s="56"/>
    </row>
    <row r="219" spans="1:11" x14ac:dyDescent="0.2">
      <c r="A219" s="56"/>
      <c r="B219" s="56"/>
      <c r="C219" s="56"/>
      <c r="D219" s="56"/>
      <c r="E219" s="56"/>
      <c r="F219" s="56"/>
      <c r="G219" s="56"/>
      <c r="H219" s="56"/>
      <c r="I219" s="56"/>
      <c r="J219" s="56"/>
      <c r="K219" s="56"/>
    </row>
    <row r="220" spans="1:11" x14ac:dyDescent="0.2">
      <c r="A220" s="56"/>
      <c r="B220" s="56"/>
      <c r="C220" s="56"/>
      <c r="D220" s="56"/>
      <c r="E220" s="56"/>
      <c r="F220" s="56"/>
      <c r="G220" s="56"/>
      <c r="H220" s="56"/>
      <c r="I220" s="56"/>
      <c r="J220" s="56"/>
      <c r="K220" s="56"/>
    </row>
    <row r="221" spans="1:11" x14ac:dyDescent="0.2">
      <c r="A221" s="56"/>
      <c r="B221" s="56"/>
      <c r="C221" s="56"/>
      <c r="D221" s="56"/>
      <c r="E221" s="56"/>
      <c r="F221" s="56"/>
      <c r="G221" s="56"/>
      <c r="H221" s="56"/>
      <c r="I221" s="56"/>
      <c r="J221" s="56"/>
      <c r="K221" s="56"/>
    </row>
    <row r="222" spans="1:11" x14ac:dyDescent="0.2">
      <c r="A222" s="56"/>
      <c r="B222" s="56"/>
      <c r="C222" s="56"/>
      <c r="D222" s="56"/>
      <c r="E222" s="56"/>
      <c r="F222" s="56"/>
      <c r="G222" s="56"/>
      <c r="H222" s="56"/>
      <c r="I222" s="56"/>
      <c r="J222" s="56"/>
      <c r="K222" s="56"/>
    </row>
    <row r="223" spans="1:11" x14ac:dyDescent="0.2">
      <c r="A223" s="56"/>
      <c r="B223" s="56"/>
      <c r="C223" s="56"/>
      <c r="D223" s="56"/>
      <c r="E223" s="56"/>
      <c r="F223" s="56"/>
      <c r="G223" s="56"/>
      <c r="H223" s="56"/>
      <c r="I223" s="56"/>
      <c r="J223" s="56"/>
      <c r="K223" s="56"/>
    </row>
    <row r="224" spans="1:11" x14ac:dyDescent="0.2">
      <c r="A224" s="56"/>
      <c r="B224" s="56"/>
      <c r="C224" s="56"/>
      <c r="D224" s="56"/>
      <c r="E224" s="56"/>
      <c r="F224" s="56"/>
      <c r="G224" s="56"/>
      <c r="H224" s="56"/>
      <c r="I224" s="56"/>
      <c r="J224" s="56"/>
      <c r="K224" s="56"/>
    </row>
    <row r="225" spans="1:11" x14ac:dyDescent="0.2">
      <c r="A225" s="56"/>
      <c r="B225" s="56"/>
      <c r="C225" s="56"/>
      <c r="D225" s="56"/>
      <c r="E225" s="56"/>
      <c r="F225" s="56"/>
      <c r="G225" s="56"/>
      <c r="H225" s="56"/>
      <c r="I225" s="56"/>
      <c r="J225" s="56"/>
      <c r="K225" s="56"/>
    </row>
    <row r="226" spans="1:11" x14ac:dyDescent="0.2">
      <c r="A226" s="56"/>
      <c r="B226" s="56"/>
      <c r="C226" s="56"/>
      <c r="D226" s="56"/>
      <c r="E226" s="56"/>
      <c r="F226" s="56"/>
      <c r="G226" s="56"/>
      <c r="H226" s="56"/>
      <c r="I226" s="56"/>
      <c r="J226" s="56"/>
      <c r="K226" s="56"/>
    </row>
    <row r="227" spans="1:11" x14ac:dyDescent="0.2">
      <c r="A227" s="56"/>
      <c r="B227" s="56"/>
      <c r="C227" s="56"/>
      <c r="D227" s="56"/>
      <c r="E227" s="56"/>
      <c r="F227" s="56"/>
      <c r="G227" s="56"/>
      <c r="H227" s="56"/>
      <c r="I227" s="56"/>
      <c r="J227" s="56"/>
      <c r="K227" s="56"/>
    </row>
    <row r="228" spans="1:11" x14ac:dyDescent="0.2">
      <c r="A228" s="56"/>
      <c r="B228" s="56"/>
      <c r="C228" s="56"/>
      <c r="D228" s="56"/>
      <c r="E228" s="56"/>
      <c r="F228" s="56"/>
      <c r="G228" s="56"/>
      <c r="H228" s="56"/>
      <c r="I228" s="56"/>
      <c r="J228" s="56"/>
      <c r="K228" s="56"/>
    </row>
    <row r="229" spans="1:11" x14ac:dyDescent="0.2">
      <c r="A229" s="56"/>
      <c r="B229" s="56"/>
      <c r="C229" s="56"/>
      <c r="D229" s="56"/>
      <c r="E229" s="56"/>
      <c r="F229" s="56"/>
      <c r="G229" s="56"/>
      <c r="H229" s="56"/>
      <c r="I229" s="56"/>
      <c r="J229" s="56"/>
      <c r="K229" s="56"/>
    </row>
    <row r="230" spans="1:11" x14ac:dyDescent="0.2">
      <c r="A230" s="56"/>
      <c r="B230" s="56"/>
      <c r="C230" s="56"/>
      <c r="D230" s="56"/>
      <c r="E230" s="56"/>
      <c r="F230" s="56"/>
      <c r="G230" s="56"/>
      <c r="H230" s="56"/>
      <c r="I230" s="56"/>
      <c r="J230" s="56"/>
      <c r="K230" s="56"/>
    </row>
    <row r="231" spans="1:11" x14ac:dyDescent="0.2">
      <c r="A231" s="56"/>
      <c r="B231" s="56"/>
      <c r="C231" s="56"/>
      <c r="D231" s="56"/>
      <c r="E231" s="56"/>
      <c r="F231" s="56"/>
      <c r="G231" s="56"/>
      <c r="H231" s="56"/>
      <c r="I231" s="56"/>
      <c r="J231" s="56"/>
      <c r="K231" s="56"/>
    </row>
    <row r="232" spans="1:11" x14ac:dyDescent="0.2">
      <c r="A232" s="56"/>
      <c r="B232" s="56"/>
      <c r="C232" s="56"/>
      <c r="D232" s="56"/>
      <c r="E232" s="56"/>
      <c r="F232" s="56"/>
      <c r="G232" s="56"/>
      <c r="H232" s="56"/>
      <c r="I232" s="56"/>
      <c r="J232" s="56"/>
      <c r="K232" s="56"/>
    </row>
    <row r="233" spans="1:11" x14ac:dyDescent="0.2">
      <c r="A233" s="56"/>
      <c r="B233" s="56"/>
      <c r="C233" s="56"/>
      <c r="D233" s="56"/>
      <c r="E233" s="56"/>
      <c r="F233" s="56"/>
      <c r="G233" s="56"/>
      <c r="H233" s="56"/>
      <c r="I233" s="56"/>
      <c r="J233" s="56"/>
      <c r="K233" s="56"/>
    </row>
    <row r="234" spans="1:11" x14ac:dyDescent="0.2">
      <c r="A234" s="56"/>
      <c r="B234" s="56"/>
      <c r="C234" s="56"/>
      <c r="D234" s="56"/>
      <c r="E234" s="56"/>
      <c r="F234" s="56"/>
      <c r="G234" s="56"/>
      <c r="H234" s="56"/>
      <c r="I234" s="56"/>
      <c r="J234" s="56"/>
      <c r="K234" s="56"/>
    </row>
    <row r="235" spans="1:11" x14ac:dyDescent="0.2">
      <c r="A235" s="56"/>
      <c r="B235" s="56"/>
      <c r="C235" s="56"/>
      <c r="D235" s="56"/>
      <c r="E235" s="56"/>
      <c r="F235" s="56"/>
      <c r="G235" s="56"/>
      <c r="H235" s="56"/>
      <c r="I235" s="56"/>
      <c r="J235" s="56"/>
      <c r="K235" s="56"/>
    </row>
    <row r="236" spans="1:11" x14ac:dyDescent="0.2">
      <c r="A236" s="56"/>
      <c r="B236" s="56"/>
      <c r="C236" s="56"/>
      <c r="D236" s="56"/>
      <c r="E236" s="56"/>
      <c r="F236" s="56"/>
      <c r="G236" s="56"/>
      <c r="H236" s="56"/>
      <c r="I236" s="56"/>
      <c r="J236" s="56"/>
      <c r="K236" s="56"/>
    </row>
    <row r="237" spans="1:11" x14ac:dyDescent="0.2">
      <c r="A237" s="56"/>
      <c r="B237" s="56"/>
      <c r="C237" s="56"/>
      <c r="D237" s="56"/>
      <c r="E237" s="56"/>
      <c r="F237" s="56"/>
      <c r="G237" s="56"/>
      <c r="H237" s="56"/>
      <c r="I237" s="56"/>
      <c r="J237" s="56"/>
      <c r="K237" s="56"/>
    </row>
    <row r="238" spans="1:11" x14ac:dyDescent="0.2">
      <c r="A238" s="56"/>
      <c r="B238" s="56"/>
      <c r="C238" s="56"/>
      <c r="D238" s="56"/>
      <c r="E238" s="56"/>
      <c r="F238" s="56"/>
      <c r="G238" s="56"/>
      <c r="H238" s="56"/>
      <c r="I238" s="56"/>
      <c r="J238" s="56"/>
      <c r="K238" s="56"/>
    </row>
    <row r="239" spans="1:11" x14ac:dyDescent="0.2">
      <c r="A239" s="56"/>
      <c r="B239" s="56"/>
      <c r="C239" s="56"/>
      <c r="D239" s="56"/>
      <c r="E239" s="56"/>
      <c r="F239" s="56"/>
      <c r="G239" s="56"/>
      <c r="H239" s="56"/>
      <c r="I239" s="56"/>
      <c r="J239" s="56"/>
      <c r="K239" s="56"/>
    </row>
    <row r="240" spans="1:11" x14ac:dyDescent="0.2">
      <c r="A240" s="56"/>
      <c r="B240" s="56"/>
      <c r="C240" s="56"/>
      <c r="D240" s="56"/>
      <c r="E240" s="56"/>
      <c r="F240" s="56"/>
      <c r="G240" s="56"/>
      <c r="H240" s="56"/>
      <c r="I240" s="56"/>
      <c r="J240" s="56"/>
      <c r="K240" s="56"/>
    </row>
    <row r="241" spans="1:11" x14ac:dyDescent="0.2">
      <c r="A241" s="56"/>
      <c r="B241" s="56"/>
      <c r="C241" s="56"/>
      <c r="D241" s="56"/>
      <c r="E241" s="56"/>
      <c r="F241" s="56"/>
      <c r="G241" s="56"/>
      <c r="H241" s="56"/>
      <c r="I241" s="56"/>
      <c r="J241" s="56"/>
      <c r="K241" s="56"/>
    </row>
    <row r="242" spans="1:11" x14ac:dyDescent="0.2">
      <c r="A242" s="56"/>
      <c r="B242" s="56"/>
      <c r="C242" s="56"/>
      <c r="D242" s="56"/>
      <c r="E242" s="56"/>
      <c r="F242" s="56"/>
      <c r="G242" s="56"/>
      <c r="H242" s="56"/>
      <c r="I242" s="56"/>
      <c r="J242" s="56"/>
      <c r="K242" s="56"/>
    </row>
    <row r="243" spans="1:11" x14ac:dyDescent="0.2">
      <c r="A243" s="56"/>
      <c r="B243" s="56"/>
      <c r="C243" s="56"/>
      <c r="D243" s="56"/>
      <c r="E243" s="56"/>
      <c r="F243" s="56"/>
      <c r="G243" s="56"/>
      <c r="H243" s="56"/>
      <c r="I243" s="56"/>
      <c r="J243" s="56"/>
      <c r="K243" s="56"/>
    </row>
    <row r="244" spans="1:11" x14ac:dyDescent="0.2">
      <c r="A244" s="56"/>
      <c r="B244" s="56"/>
      <c r="C244" s="56"/>
      <c r="D244" s="56"/>
      <c r="E244" s="56"/>
      <c r="F244" s="56"/>
      <c r="G244" s="56"/>
      <c r="H244" s="56"/>
      <c r="I244" s="56"/>
      <c r="J244" s="56"/>
      <c r="K244" s="56"/>
    </row>
    <row r="245" spans="1:11" x14ac:dyDescent="0.2">
      <c r="A245" s="56"/>
      <c r="B245" s="56"/>
      <c r="C245" s="56"/>
      <c r="D245" s="56"/>
      <c r="E245" s="56"/>
      <c r="F245" s="56"/>
      <c r="G245" s="56"/>
      <c r="H245" s="56"/>
      <c r="I245" s="56"/>
      <c r="J245" s="56"/>
      <c r="K245" s="56"/>
    </row>
    <row r="246" spans="1:11" x14ac:dyDescent="0.2">
      <c r="A246" s="56"/>
      <c r="B246" s="56"/>
      <c r="C246" s="56"/>
      <c r="D246" s="56"/>
      <c r="E246" s="56"/>
      <c r="F246" s="56"/>
      <c r="G246" s="56"/>
      <c r="H246" s="56"/>
      <c r="I246" s="56"/>
      <c r="J246" s="56"/>
      <c r="K246" s="56"/>
    </row>
    <row r="247" spans="1:11" x14ac:dyDescent="0.2">
      <c r="A247" s="56"/>
      <c r="B247" s="56"/>
      <c r="C247" s="56"/>
      <c r="D247" s="56"/>
      <c r="E247" s="56"/>
      <c r="F247" s="56"/>
      <c r="G247" s="56"/>
      <c r="H247" s="56"/>
      <c r="I247" s="56"/>
      <c r="J247" s="56"/>
      <c r="K247" s="56"/>
    </row>
    <row r="248" spans="1:11" x14ac:dyDescent="0.2">
      <c r="A248" s="56"/>
      <c r="B248" s="56"/>
      <c r="C248" s="56"/>
      <c r="D248" s="56"/>
      <c r="E248" s="56"/>
      <c r="F248" s="56"/>
      <c r="G248" s="56"/>
      <c r="H248" s="56"/>
      <c r="I248" s="56"/>
      <c r="J248" s="56"/>
      <c r="K248" s="56"/>
    </row>
    <row r="249" spans="1:11" x14ac:dyDescent="0.2">
      <c r="A249" s="56"/>
      <c r="B249" s="56"/>
      <c r="C249" s="56"/>
      <c r="D249" s="56"/>
      <c r="E249" s="56"/>
      <c r="F249" s="56"/>
      <c r="G249" s="56"/>
      <c r="H249" s="56"/>
      <c r="I249" s="56"/>
      <c r="J249" s="56"/>
      <c r="K249" s="56"/>
    </row>
    <row r="250" spans="1:11" x14ac:dyDescent="0.2">
      <c r="A250" s="56"/>
      <c r="B250" s="56"/>
      <c r="C250" s="56"/>
      <c r="D250" s="56"/>
      <c r="E250" s="56"/>
      <c r="F250" s="56"/>
      <c r="G250" s="56"/>
      <c r="H250" s="56"/>
      <c r="I250" s="56"/>
      <c r="J250" s="56"/>
      <c r="K250" s="56"/>
    </row>
    <row r="251" spans="1:11" x14ac:dyDescent="0.2">
      <c r="A251" s="56"/>
      <c r="B251" s="56"/>
      <c r="C251" s="56"/>
      <c r="D251" s="56"/>
      <c r="E251" s="56"/>
      <c r="F251" s="56"/>
      <c r="G251" s="56"/>
      <c r="H251" s="56"/>
      <c r="I251" s="56"/>
      <c r="J251" s="56"/>
      <c r="K251" s="56"/>
    </row>
    <row r="252" spans="1:11" x14ac:dyDescent="0.2">
      <c r="A252" s="56"/>
      <c r="B252" s="56"/>
      <c r="C252" s="56"/>
      <c r="D252" s="56"/>
      <c r="E252" s="56"/>
      <c r="F252" s="56"/>
      <c r="G252" s="56"/>
      <c r="H252" s="56"/>
      <c r="I252" s="56"/>
      <c r="J252" s="56"/>
      <c r="K252" s="56"/>
    </row>
    <row r="253" spans="1:11" x14ac:dyDescent="0.2">
      <c r="A253" s="56"/>
      <c r="B253" s="56"/>
      <c r="C253" s="56"/>
      <c r="D253" s="56"/>
      <c r="E253" s="56"/>
      <c r="F253" s="56"/>
      <c r="G253" s="56"/>
      <c r="H253" s="56"/>
      <c r="I253" s="56"/>
      <c r="J253" s="56"/>
      <c r="K253" s="56"/>
    </row>
    <row r="254" spans="1:11" x14ac:dyDescent="0.2">
      <c r="A254" s="56"/>
      <c r="B254" s="56"/>
      <c r="C254" s="56"/>
      <c r="D254" s="56"/>
      <c r="E254" s="56"/>
      <c r="F254" s="56"/>
      <c r="G254" s="56"/>
      <c r="H254" s="56"/>
      <c r="I254" s="56"/>
      <c r="J254" s="56"/>
      <c r="K254" s="56"/>
    </row>
    <row r="255" spans="1:11" x14ac:dyDescent="0.2">
      <c r="A255" s="56"/>
      <c r="B255" s="56"/>
      <c r="C255" s="56"/>
      <c r="D255" s="56"/>
      <c r="E255" s="56"/>
      <c r="F255" s="56"/>
      <c r="G255" s="56"/>
      <c r="H255" s="56"/>
      <c r="I255" s="56"/>
      <c r="J255" s="56"/>
      <c r="K255" s="56"/>
    </row>
    <row r="256" spans="1:11" x14ac:dyDescent="0.2">
      <c r="A256" s="56"/>
      <c r="B256" s="56"/>
      <c r="C256" s="56"/>
      <c r="D256" s="56"/>
      <c r="E256" s="56"/>
      <c r="F256" s="56"/>
      <c r="G256" s="56"/>
      <c r="H256" s="56"/>
      <c r="I256" s="56"/>
      <c r="J256" s="56"/>
      <c r="K256" s="56"/>
    </row>
    <row r="257" spans="1:11" x14ac:dyDescent="0.2">
      <c r="A257" s="56"/>
      <c r="B257" s="56"/>
      <c r="C257" s="56"/>
      <c r="D257" s="56"/>
      <c r="E257" s="56"/>
      <c r="F257" s="56"/>
      <c r="G257" s="56"/>
      <c r="H257" s="56"/>
      <c r="I257" s="56"/>
      <c r="J257" s="56"/>
      <c r="K257" s="56"/>
    </row>
    <row r="258" spans="1:11" x14ac:dyDescent="0.2">
      <c r="A258" s="56"/>
      <c r="B258" s="56"/>
      <c r="C258" s="56"/>
      <c r="D258" s="56"/>
      <c r="E258" s="56"/>
      <c r="F258" s="56"/>
      <c r="G258" s="56"/>
      <c r="H258" s="56"/>
      <c r="I258" s="56"/>
      <c r="J258" s="56"/>
      <c r="K258" s="56"/>
    </row>
    <row r="259" spans="1:11" x14ac:dyDescent="0.2">
      <c r="A259" s="56"/>
      <c r="B259" s="56"/>
      <c r="C259" s="56"/>
      <c r="D259" s="56"/>
      <c r="E259" s="56"/>
      <c r="F259" s="56"/>
      <c r="G259" s="56"/>
      <c r="H259" s="56"/>
      <c r="I259" s="56"/>
      <c r="J259" s="56"/>
      <c r="K259" s="56"/>
    </row>
    <row r="260" spans="1:11" x14ac:dyDescent="0.2">
      <c r="A260" s="56"/>
      <c r="B260" s="56"/>
      <c r="C260" s="56"/>
      <c r="D260" s="56"/>
      <c r="E260" s="56"/>
      <c r="F260" s="56"/>
      <c r="G260" s="56"/>
      <c r="H260" s="56"/>
      <c r="I260" s="56"/>
      <c r="J260" s="56"/>
      <c r="K260" s="56"/>
    </row>
    <row r="261" spans="1:11" x14ac:dyDescent="0.2">
      <c r="A261" s="56"/>
      <c r="B261" s="56"/>
      <c r="C261" s="56"/>
      <c r="D261" s="56"/>
      <c r="E261" s="56"/>
      <c r="F261" s="56"/>
      <c r="G261" s="56"/>
      <c r="H261" s="56"/>
      <c r="I261" s="56"/>
      <c r="J261" s="56"/>
      <c r="K261" s="56"/>
    </row>
    <row r="262" spans="1:11" x14ac:dyDescent="0.2">
      <c r="A262" s="56"/>
      <c r="B262" s="56"/>
      <c r="C262" s="56"/>
      <c r="D262" s="56"/>
      <c r="E262" s="56"/>
      <c r="F262" s="56"/>
      <c r="G262" s="56"/>
      <c r="H262" s="56"/>
      <c r="I262" s="56"/>
      <c r="J262" s="56"/>
      <c r="K262" s="56"/>
    </row>
    <row r="263" spans="1:11" x14ac:dyDescent="0.2">
      <c r="A263" s="56"/>
      <c r="B263" s="56"/>
      <c r="C263" s="56"/>
      <c r="D263" s="56"/>
      <c r="E263" s="56"/>
      <c r="F263" s="56"/>
      <c r="G263" s="56"/>
      <c r="H263" s="56"/>
      <c r="I263" s="56"/>
      <c r="J263" s="56"/>
      <c r="K263" s="56"/>
    </row>
    <row r="264" spans="1:11" x14ac:dyDescent="0.2">
      <c r="A264" s="56"/>
      <c r="B264" s="56"/>
      <c r="C264" s="56"/>
      <c r="D264" s="56"/>
      <c r="E264" s="56"/>
      <c r="F264" s="56"/>
      <c r="G264" s="56"/>
      <c r="H264" s="56"/>
      <c r="I264" s="56"/>
      <c r="J264" s="56"/>
      <c r="K264" s="56"/>
    </row>
    <row r="265" spans="1:11" x14ac:dyDescent="0.2">
      <c r="A265" s="56"/>
      <c r="B265" s="56"/>
      <c r="C265" s="56"/>
      <c r="D265" s="56"/>
      <c r="E265" s="56"/>
      <c r="F265" s="56"/>
      <c r="G265" s="56"/>
      <c r="H265" s="56"/>
      <c r="I265" s="56"/>
      <c r="J265" s="56"/>
      <c r="K265" s="56"/>
    </row>
    <row r="266" spans="1:11" x14ac:dyDescent="0.2">
      <c r="A266" s="56"/>
      <c r="B266" s="56"/>
      <c r="C266" s="56"/>
      <c r="D266" s="56"/>
      <c r="E266" s="56"/>
      <c r="F266" s="56"/>
      <c r="G266" s="56"/>
      <c r="H266" s="56"/>
      <c r="I266" s="56"/>
      <c r="J266" s="56"/>
      <c r="K266" s="56"/>
    </row>
    <row r="267" spans="1:11" x14ac:dyDescent="0.2">
      <c r="A267" s="56"/>
      <c r="B267" s="56"/>
      <c r="C267" s="56"/>
      <c r="D267" s="56"/>
      <c r="E267" s="56"/>
      <c r="F267" s="56"/>
      <c r="G267" s="56"/>
      <c r="H267" s="56"/>
      <c r="I267" s="56"/>
      <c r="J267" s="56"/>
      <c r="K267" s="56"/>
    </row>
    <row r="268" spans="1:11" x14ac:dyDescent="0.2">
      <c r="A268" s="56"/>
      <c r="B268" s="56"/>
      <c r="C268" s="56"/>
      <c r="D268" s="56"/>
      <c r="E268" s="56"/>
      <c r="F268" s="56"/>
      <c r="G268" s="56"/>
      <c r="H268" s="56"/>
      <c r="I268" s="56"/>
      <c r="J268" s="56"/>
      <c r="K268" s="56"/>
    </row>
    <row r="269" spans="1:11" x14ac:dyDescent="0.2">
      <c r="A269" s="56"/>
      <c r="B269" s="56"/>
      <c r="C269" s="56"/>
      <c r="D269" s="56"/>
      <c r="E269" s="56"/>
      <c r="F269" s="56"/>
      <c r="G269" s="56"/>
      <c r="H269" s="56"/>
      <c r="I269" s="56"/>
      <c r="J269" s="56"/>
      <c r="K269" s="56"/>
    </row>
    <row r="270" spans="1:11" x14ac:dyDescent="0.2">
      <c r="A270" s="56"/>
      <c r="B270" s="56"/>
      <c r="C270" s="56"/>
      <c r="D270" s="56"/>
      <c r="E270" s="56"/>
      <c r="F270" s="56"/>
      <c r="G270" s="56"/>
      <c r="H270" s="56"/>
      <c r="I270" s="56"/>
      <c r="J270" s="56"/>
      <c r="K270" s="56"/>
    </row>
    <row r="271" spans="1:11" x14ac:dyDescent="0.2">
      <c r="A271" s="56"/>
      <c r="B271" s="56"/>
      <c r="C271" s="56"/>
      <c r="D271" s="56"/>
      <c r="E271" s="56"/>
      <c r="F271" s="56"/>
      <c r="G271" s="56"/>
      <c r="H271" s="56"/>
      <c r="I271" s="56"/>
      <c r="J271" s="56"/>
      <c r="K271" s="56"/>
    </row>
    <row r="272" spans="1:11" x14ac:dyDescent="0.2">
      <c r="A272" s="56"/>
      <c r="B272" s="56"/>
      <c r="C272" s="56"/>
      <c r="D272" s="56"/>
      <c r="E272" s="56"/>
      <c r="F272" s="56"/>
      <c r="G272" s="56"/>
      <c r="H272" s="56"/>
      <c r="I272" s="56"/>
      <c r="J272" s="56"/>
      <c r="K272" s="56"/>
    </row>
    <row r="273" spans="1:11" x14ac:dyDescent="0.2">
      <c r="A273" s="56"/>
      <c r="B273" s="56"/>
      <c r="C273" s="56"/>
      <c r="D273" s="56"/>
      <c r="E273" s="56"/>
      <c r="F273" s="56"/>
      <c r="G273" s="56"/>
      <c r="H273" s="56"/>
      <c r="I273" s="56"/>
      <c r="J273" s="56"/>
      <c r="K273" s="56"/>
    </row>
    <row r="274" spans="1:11" x14ac:dyDescent="0.2">
      <c r="A274" s="56"/>
      <c r="B274" s="56"/>
      <c r="C274" s="56"/>
      <c r="D274" s="56"/>
      <c r="E274" s="56"/>
      <c r="F274" s="56"/>
      <c r="G274" s="56"/>
      <c r="H274" s="56"/>
      <c r="I274" s="56"/>
      <c r="J274" s="56"/>
      <c r="K274" s="56"/>
    </row>
    <row r="275" spans="1:11" x14ac:dyDescent="0.2">
      <c r="A275" s="56"/>
      <c r="B275" s="56"/>
      <c r="C275" s="56"/>
      <c r="D275" s="56"/>
      <c r="E275" s="56"/>
      <c r="F275" s="56"/>
      <c r="G275" s="56"/>
      <c r="H275" s="56"/>
      <c r="I275" s="56"/>
      <c r="J275" s="56"/>
      <c r="K275" s="56"/>
    </row>
    <row r="276" spans="1:11" x14ac:dyDescent="0.2">
      <c r="A276" s="56"/>
      <c r="B276" s="56"/>
      <c r="C276" s="56"/>
      <c r="D276" s="56"/>
      <c r="E276" s="56"/>
      <c r="F276" s="56"/>
      <c r="G276" s="56"/>
      <c r="H276" s="56"/>
      <c r="I276" s="56"/>
      <c r="J276" s="56"/>
      <c r="K276" s="56"/>
    </row>
    <row r="277" spans="1:11" x14ac:dyDescent="0.2">
      <c r="A277" s="56"/>
      <c r="B277" s="56"/>
      <c r="C277" s="56"/>
      <c r="D277" s="56"/>
      <c r="E277" s="56"/>
      <c r="F277" s="56"/>
      <c r="G277" s="56"/>
      <c r="H277" s="56"/>
      <c r="I277" s="56"/>
      <c r="J277" s="56"/>
      <c r="K277" s="56"/>
    </row>
    <row r="278" spans="1:11" x14ac:dyDescent="0.2">
      <c r="A278" s="56"/>
      <c r="B278" s="56"/>
      <c r="C278" s="56"/>
      <c r="D278" s="56"/>
      <c r="E278" s="56"/>
      <c r="F278" s="56"/>
      <c r="G278" s="56"/>
      <c r="H278" s="56"/>
      <c r="I278" s="56"/>
      <c r="J278" s="56"/>
      <c r="K278" s="56"/>
    </row>
    <row r="279" spans="1:11" x14ac:dyDescent="0.2">
      <c r="A279" s="56"/>
      <c r="B279" s="56"/>
      <c r="C279" s="56"/>
      <c r="D279" s="56"/>
      <c r="E279" s="56"/>
      <c r="F279" s="56"/>
      <c r="G279" s="56"/>
      <c r="H279" s="56"/>
      <c r="I279" s="56"/>
      <c r="J279" s="56"/>
      <c r="K279" s="56"/>
    </row>
    <row r="280" spans="1:11" x14ac:dyDescent="0.2">
      <c r="A280" s="56"/>
      <c r="B280" s="56"/>
      <c r="C280" s="56"/>
      <c r="D280" s="56"/>
      <c r="E280" s="56"/>
      <c r="F280" s="56"/>
      <c r="G280" s="56"/>
      <c r="H280" s="56"/>
      <c r="I280" s="56"/>
      <c r="J280" s="56"/>
      <c r="K280" s="56"/>
    </row>
    <row r="281" spans="1:11" x14ac:dyDescent="0.2">
      <c r="A281" s="56"/>
      <c r="B281" s="56"/>
      <c r="C281" s="56"/>
      <c r="D281" s="56"/>
      <c r="E281" s="56"/>
      <c r="F281" s="56"/>
      <c r="G281" s="56"/>
      <c r="H281" s="56"/>
      <c r="I281" s="56"/>
      <c r="J281" s="56"/>
      <c r="K281" s="56"/>
    </row>
    <row r="282" spans="1:11" x14ac:dyDescent="0.2">
      <c r="A282" s="56"/>
      <c r="B282" s="56"/>
      <c r="C282" s="56"/>
      <c r="D282" s="56"/>
      <c r="E282" s="56"/>
      <c r="F282" s="56"/>
      <c r="G282" s="56"/>
      <c r="H282" s="56"/>
      <c r="I282" s="56"/>
      <c r="J282" s="56"/>
      <c r="K282" s="56"/>
    </row>
    <row r="283" spans="1:11" x14ac:dyDescent="0.2">
      <c r="A283" s="56"/>
      <c r="B283" s="56"/>
      <c r="C283" s="56"/>
      <c r="D283" s="56"/>
      <c r="E283" s="56"/>
      <c r="F283" s="56"/>
      <c r="G283" s="56"/>
      <c r="H283" s="56"/>
      <c r="I283" s="56"/>
      <c r="J283" s="56"/>
      <c r="K283" s="56"/>
    </row>
    <row r="284" spans="1:11" x14ac:dyDescent="0.2">
      <c r="A284" s="56"/>
      <c r="B284" s="56"/>
      <c r="C284" s="56"/>
      <c r="D284" s="56"/>
      <c r="E284" s="56"/>
      <c r="F284" s="56"/>
      <c r="G284" s="56"/>
      <c r="H284" s="56"/>
      <c r="I284" s="56"/>
      <c r="J284" s="56"/>
      <c r="K284" s="56"/>
    </row>
    <row r="285" spans="1:11" x14ac:dyDescent="0.2">
      <c r="A285" s="56"/>
      <c r="B285" s="56"/>
      <c r="C285" s="56"/>
      <c r="D285" s="56"/>
      <c r="E285" s="56"/>
      <c r="F285" s="56"/>
      <c r="G285" s="56"/>
      <c r="H285" s="56"/>
      <c r="I285" s="56"/>
      <c r="J285" s="56"/>
      <c r="K285" s="56"/>
    </row>
    <row r="286" spans="1:11" x14ac:dyDescent="0.2">
      <c r="A286" s="56"/>
      <c r="B286" s="56"/>
      <c r="C286" s="56"/>
      <c r="D286" s="56"/>
      <c r="E286" s="56"/>
      <c r="F286" s="56"/>
      <c r="G286" s="56"/>
      <c r="H286" s="56"/>
      <c r="I286" s="56"/>
      <c r="J286" s="56"/>
      <c r="K286" s="56"/>
    </row>
    <row r="287" spans="1:11" x14ac:dyDescent="0.2">
      <c r="A287" s="56"/>
      <c r="B287" s="56"/>
      <c r="C287" s="56"/>
      <c r="D287" s="56"/>
      <c r="E287" s="56"/>
      <c r="F287" s="56"/>
      <c r="G287" s="56"/>
      <c r="H287" s="56"/>
      <c r="I287" s="56"/>
      <c r="J287" s="56"/>
      <c r="K287" s="56"/>
    </row>
    <row r="288" spans="1:11" x14ac:dyDescent="0.2">
      <c r="A288" s="56"/>
      <c r="B288" s="56"/>
      <c r="C288" s="56"/>
      <c r="D288" s="56"/>
      <c r="E288" s="56"/>
      <c r="F288" s="56"/>
      <c r="G288" s="56"/>
      <c r="H288" s="56"/>
      <c r="I288" s="56"/>
      <c r="J288" s="56"/>
      <c r="K288" s="56"/>
    </row>
    <row r="289" spans="1:11" x14ac:dyDescent="0.2">
      <c r="A289" s="56"/>
      <c r="B289" s="56"/>
      <c r="C289" s="56"/>
      <c r="D289" s="56"/>
      <c r="E289" s="56"/>
      <c r="F289" s="56"/>
      <c r="G289" s="56"/>
      <c r="H289" s="56"/>
      <c r="I289" s="56"/>
      <c r="J289" s="56"/>
      <c r="K289" s="56"/>
    </row>
    <row r="290" spans="1:11" x14ac:dyDescent="0.2">
      <c r="A290" s="56"/>
      <c r="B290" s="56"/>
      <c r="C290" s="56"/>
      <c r="D290" s="56"/>
      <c r="E290" s="56"/>
      <c r="F290" s="56"/>
      <c r="G290" s="56"/>
      <c r="H290" s="56"/>
      <c r="I290" s="56"/>
      <c r="J290" s="56"/>
      <c r="K290" s="56"/>
    </row>
    <row r="291" spans="1:11" x14ac:dyDescent="0.2">
      <c r="A291" s="56"/>
      <c r="B291" s="56"/>
      <c r="C291" s="56"/>
      <c r="D291" s="56"/>
      <c r="E291" s="56"/>
      <c r="F291" s="56"/>
      <c r="G291" s="56"/>
      <c r="H291" s="56"/>
      <c r="I291" s="56"/>
      <c r="J291" s="56"/>
      <c r="K291" s="56"/>
    </row>
    <row r="292" spans="1:11" x14ac:dyDescent="0.2">
      <c r="A292" s="56"/>
      <c r="B292" s="56"/>
      <c r="C292" s="56"/>
      <c r="D292" s="56"/>
      <c r="E292" s="56"/>
      <c r="F292" s="56"/>
      <c r="G292" s="56"/>
      <c r="H292" s="56"/>
      <c r="I292" s="56"/>
      <c r="J292" s="56"/>
      <c r="K292" s="56"/>
    </row>
    <row r="293" spans="1:11" x14ac:dyDescent="0.2">
      <c r="A293" s="56"/>
      <c r="B293" s="56"/>
      <c r="C293" s="56"/>
      <c r="D293" s="56"/>
      <c r="E293" s="56"/>
      <c r="F293" s="56"/>
      <c r="G293" s="56"/>
      <c r="H293" s="56"/>
      <c r="I293" s="56"/>
      <c r="J293" s="56"/>
      <c r="K293" s="56"/>
    </row>
    <row r="294" spans="1:11" x14ac:dyDescent="0.2">
      <c r="A294" s="56"/>
      <c r="B294" s="56"/>
      <c r="C294" s="56"/>
      <c r="D294" s="56"/>
      <c r="E294" s="56"/>
      <c r="F294" s="56"/>
      <c r="G294" s="56"/>
      <c r="H294" s="56"/>
      <c r="I294" s="56"/>
      <c r="J294" s="56"/>
      <c r="K294" s="56"/>
    </row>
    <row r="295" spans="1:11" x14ac:dyDescent="0.2">
      <c r="A295" s="56"/>
      <c r="B295" s="56"/>
      <c r="C295" s="56"/>
      <c r="D295" s="56"/>
      <c r="E295" s="56"/>
      <c r="F295" s="56"/>
      <c r="G295" s="56"/>
      <c r="H295" s="56"/>
      <c r="I295" s="56"/>
      <c r="J295" s="56"/>
      <c r="K295" s="56"/>
    </row>
    <row r="296" spans="1:11" x14ac:dyDescent="0.2">
      <c r="A296" s="56"/>
      <c r="B296" s="56"/>
      <c r="C296" s="56"/>
      <c r="D296" s="56"/>
      <c r="E296" s="56"/>
      <c r="F296" s="56"/>
      <c r="G296" s="56"/>
      <c r="H296" s="56"/>
      <c r="I296" s="56"/>
      <c r="J296" s="56"/>
      <c r="K296" s="56"/>
    </row>
    <row r="297" spans="1:11" x14ac:dyDescent="0.2">
      <c r="A297" s="56"/>
      <c r="B297" s="56"/>
      <c r="C297" s="56"/>
      <c r="D297" s="56"/>
      <c r="E297" s="56"/>
      <c r="F297" s="56"/>
      <c r="G297" s="56"/>
      <c r="H297" s="56"/>
      <c r="I297" s="56"/>
      <c r="J297" s="56"/>
      <c r="K297" s="56"/>
    </row>
    <row r="298" spans="1:11" x14ac:dyDescent="0.2">
      <c r="A298" s="56"/>
      <c r="B298" s="56"/>
      <c r="C298" s="56"/>
      <c r="D298" s="56"/>
      <c r="E298" s="56"/>
      <c r="F298" s="56"/>
      <c r="G298" s="56"/>
      <c r="H298" s="56"/>
      <c r="I298" s="56"/>
      <c r="J298" s="56"/>
      <c r="K298" s="56"/>
    </row>
    <row r="299" spans="1:11" x14ac:dyDescent="0.2">
      <c r="A299" s="56"/>
      <c r="B299" s="56"/>
      <c r="C299" s="56"/>
      <c r="D299" s="56"/>
      <c r="E299" s="56"/>
      <c r="F299" s="56"/>
      <c r="G299" s="56"/>
      <c r="H299" s="56"/>
      <c r="I299" s="56"/>
      <c r="J299" s="56"/>
      <c r="K299" s="56"/>
    </row>
    <row r="300" spans="1:11" x14ac:dyDescent="0.2">
      <c r="A300" s="56"/>
      <c r="B300" s="56"/>
      <c r="C300" s="56"/>
      <c r="D300" s="56"/>
      <c r="E300" s="56"/>
      <c r="F300" s="56"/>
      <c r="G300" s="56"/>
      <c r="H300" s="56"/>
      <c r="I300" s="56"/>
      <c r="J300" s="56"/>
      <c r="K300" s="56"/>
    </row>
    <row r="301" spans="1:11" x14ac:dyDescent="0.2">
      <c r="A301" s="56"/>
      <c r="B301" s="56"/>
      <c r="C301" s="56"/>
      <c r="D301" s="56"/>
      <c r="E301" s="56"/>
      <c r="F301" s="56"/>
      <c r="G301" s="56"/>
      <c r="H301" s="56"/>
      <c r="I301" s="56"/>
      <c r="J301" s="56"/>
      <c r="K301" s="56"/>
    </row>
    <row r="302" spans="1:11" x14ac:dyDescent="0.2">
      <c r="A302" s="56"/>
      <c r="B302" s="56"/>
      <c r="C302" s="56"/>
      <c r="D302" s="56"/>
      <c r="E302" s="56"/>
      <c r="F302" s="56"/>
      <c r="G302" s="56"/>
      <c r="H302" s="56"/>
      <c r="I302" s="56"/>
      <c r="J302" s="56"/>
      <c r="K302" s="56"/>
    </row>
    <row r="303" spans="1:11" x14ac:dyDescent="0.2">
      <c r="A303" s="56"/>
      <c r="B303" s="56"/>
      <c r="C303" s="56"/>
      <c r="D303" s="56"/>
      <c r="E303" s="56"/>
      <c r="F303" s="56"/>
      <c r="G303" s="56"/>
      <c r="H303" s="56"/>
      <c r="I303" s="56"/>
      <c r="J303" s="56"/>
      <c r="K303" s="56"/>
    </row>
    <row r="304" spans="1:11" x14ac:dyDescent="0.2">
      <c r="A304" s="56"/>
      <c r="B304" s="56"/>
      <c r="C304" s="56"/>
      <c r="D304" s="56"/>
      <c r="E304" s="56"/>
      <c r="F304" s="56"/>
      <c r="G304" s="56"/>
      <c r="H304" s="56"/>
      <c r="I304" s="56"/>
      <c r="J304" s="56"/>
      <c r="K304" s="56"/>
    </row>
    <row r="305" spans="1:11" x14ac:dyDescent="0.2">
      <c r="A305" s="56"/>
      <c r="B305" s="56"/>
      <c r="C305" s="56"/>
      <c r="D305" s="56"/>
      <c r="E305" s="56"/>
      <c r="F305" s="56"/>
      <c r="G305" s="56"/>
      <c r="H305" s="56"/>
      <c r="I305" s="56"/>
      <c r="J305" s="56"/>
      <c r="K305" s="56"/>
    </row>
    <row r="306" spans="1:11" x14ac:dyDescent="0.2">
      <c r="A306" s="56"/>
      <c r="B306" s="56"/>
      <c r="C306" s="56"/>
      <c r="D306" s="56"/>
      <c r="E306" s="56"/>
      <c r="F306" s="56"/>
      <c r="G306" s="56"/>
      <c r="H306" s="56"/>
      <c r="I306" s="56"/>
      <c r="J306" s="56"/>
      <c r="K306" s="56"/>
    </row>
    <row r="307" spans="1:11" x14ac:dyDescent="0.2">
      <c r="A307" s="56"/>
      <c r="B307" s="56"/>
      <c r="C307" s="56"/>
      <c r="D307" s="56"/>
      <c r="E307" s="56"/>
      <c r="F307" s="56"/>
      <c r="G307" s="56"/>
      <c r="H307" s="56"/>
      <c r="I307" s="56"/>
      <c r="J307" s="56"/>
      <c r="K307" s="56"/>
    </row>
    <row r="308" spans="1:11" x14ac:dyDescent="0.2">
      <c r="A308" s="56"/>
      <c r="B308" s="56"/>
      <c r="C308" s="56"/>
      <c r="D308" s="56"/>
      <c r="E308" s="56"/>
      <c r="F308" s="56"/>
      <c r="G308" s="56"/>
      <c r="H308" s="56"/>
      <c r="I308" s="56"/>
      <c r="J308" s="56"/>
      <c r="K308" s="56"/>
    </row>
    <row r="309" spans="1:11" x14ac:dyDescent="0.2">
      <c r="A309" s="56"/>
      <c r="B309" s="56"/>
      <c r="C309" s="56"/>
      <c r="D309" s="56"/>
      <c r="E309" s="56"/>
      <c r="F309" s="56"/>
      <c r="G309" s="56"/>
      <c r="H309" s="56"/>
      <c r="I309" s="56"/>
      <c r="J309" s="56"/>
      <c r="K309" s="56"/>
    </row>
    <row r="310" spans="1:11" x14ac:dyDescent="0.2">
      <c r="A310" s="56"/>
      <c r="B310" s="56"/>
      <c r="C310" s="56"/>
      <c r="D310" s="56"/>
      <c r="E310" s="56"/>
      <c r="F310" s="56"/>
      <c r="G310" s="56"/>
      <c r="H310" s="56"/>
      <c r="I310" s="56"/>
      <c r="J310" s="56"/>
      <c r="K310" s="56"/>
    </row>
    <row r="311" spans="1:11" x14ac:dyDescent="0.2">
      <c r="A311" s="56"/>
      <c r="B311" s="56"/>
      <c r="C311" s="56"/>
      <c r="D311" s="56"/>
      <c r="E311" s="56"/>
      <c r="F311" s="56"/>
      <c r="G311" s="56"/>
      <c r="H311" s="56"/>
      <c r="I311" s="56"/>
      <c r="J311" s="56"/>
      <c r="K311" s="56"/>
    </row>
    <row r="312" spans="1:11" x14ac:dyDescent="0.2">
      <c r="A312" s="56"/>
      <c r="B312" s="56"/>
      <c r="C312" s="56"/>
      <c r="D312" s="56"/>
      <c r="E312" s="56"/>
      <c r="F312" s="56"/>
      <c r="G312" s="56"/>
      <c r="H312" s="56"/>
      <c r="I312" s="56"/>
      <c r="J312" s="56"/>
      <c r="K312" s="56"/>
    </row>
    <row r="313" spans="1:11" x14ac:dyDescent="0.2">
      <c r="A313" s="56"/>
      <c r="B313" s="56"/>
      <c r="C313" s="56"/>
      <c r="D313" s="56"/>
      <c r="E313" s="56"/>
      <c r="F313" s="56"/>
      <c r="G313" s="56"/>
      <c r="H313" s="56"/>
      <c r="I313" s="56"/>
      <c r="J313" s="56"/>
      <c r="K313" s="56"/>
    </row>
    <row r="314" spans="1:11" x14ac:dyDescent="0.2">
      <c r="A314" s="56"/>
      <c r="B314" s="56"/>
      <c r="C314" s="56"/>
      <c r="D314" s="56"/>
      <c r="E314" s="56"/>
      <c r="F314" s="56"/>
      <c r="G314" s="56"/>
      <c r="H314" s="56"/>
      <c r="I314" s="56"/>
      <c r="J314" s="56"/>
      <c r="K314" s="56"/>
    </row>
    <row r="315" spans="1:11" x14ac:dyDescent="0.2">
      <c r="A315" s="56"/>
      <c r="B315" s="56"/>
      <c r="C315" s="56"/>
      <c r="D315" s="56"/>
      <c r="E315" s="56"/>
      <c r="F315" s="56"/>
      <c r="G315" s="56"/>
      <c r="H315" s="56"/>
      <c r="I315" s="56"/>
      <c r="J315" s="56"/>
      <c r="K315" s="56"/>
    </row>
    <row r="316" spans="1:11" x14ac:dyDescent="0.2">
      <c r="A316" s="56"/>
      <c r="B316" s="56"/>
      <c r="C316" s="56"/>
      <c r="D316" s="56"/>
      <c r="E316" s="56"/>
      <c r="F316" s="56"/>
      <c r="G316" s="56"/>
      <c r="H316" s="56"/>
      <c r="I316" s="56"/>
      <c r="J316" s="56"/>
      <c r="K316" s="56"/>
    </row>
    <row r="317" spans="1:11" x14ac:dyDescent="0.2">
      <c r="A317" s="56"/>
      <c r="B317" s="56"/>
      <c r="C317" s="56"/>
      <c r="D317" s="56"/>
      <c r="E317" s="56"/>
      <c r="F317" s="56"/>
      <c r="G317" s="56"/>
      <c r="H317" s="56"/>
      <c r="I317" s="56"/>
      <c r="J317" s="56"/>
      <c r="K317" s="56"/>
    </row>
    <row r="318" spans="1:11" x14ac:dyDescent="0.2">
      <c r="A318" s="56"/>
      <c r="B318" s="56"/>
      <c r="C318" s="56"/>
      <c r="D318" s="56"/>
      <c r="E318" s="56"/>
      <c r="F318" s="56"/>
      <c r="G318" s="56"/>
      <c r="H318" s="56"/>
      <c r="I318" s="56"/>
      <c r="J318" s="56"/>
      <c r="K318" s="56"/>
    </row>
    <row r="319" spans="1:11" x14ac:dyDescent="0.2">
      <c r="A319" s="56"/>
      <c r="B319" s="56"/>
      <c r="C319" s="56"/>
      <c r="D319" s="56"/>
      <c r="E319" s="56"/>
      <c r="F319" s="56"/>
      <c r="G319" s="56"/>
      <c r="H319" s="56"/>
      <c r="I319" s="56"/>
      <c r="J319" s="56"/>
      <c r="K319" s="56"/>
    </row>
    <row r="320" spans="1:11" x14ac:dyDescent="0.2">
      <c r="A320" s="56"/>
      <c r="B320" s="56"/>
      <c r="C320" s="56"/>
      <c r="D320" s="56"/>
      <c r="E320" s="56"/>
      <c r="F320" s="56"/>
      <c r="G320" s="56"/>
      <c r="H320" s="56"/>
      <c r="I320" s="56"/>
      <c r="J320" s="56"/>
      <c r="K320" s="56"/>
    </row>
    <row r="321" spans="1:11" x14ac:dyDescent="0.2">
      <c r="A321" s="56"/>
      <c r="B321" s="56"/>
      <c r="C321" s="56"/>
      <c r="D321" s="56"/>
      <c r="E321" s="56"/>
      <c r="F321" s="56"/>
      <c r="G321" s="56"/>
      <c r="H321" s="56"/>
      <c r="I321" s="56"/>
      <c r="J321" s="56"/>
      <c r="K321" s="56"/>
    </row>
    <row r="322" spans="1:11" x14ac:dyDescent="0.2">
      <c r="A322" s="56"/>
      <c r="B322" s="56"/>
      <c r="C322" s="56"/>
      <c r="D322" s="56"/>
      <c r="E322" s="56"/>
      <c r="F322" s="56"/>
      <c r="G322" s="56"/>
      <c r="H322" s="56"/>
      <c r="I322" s="56"/>
      <c r="J322" s="56"/>
      <c r="K322" s="56"/>
    </row>
    <row r="323" spans="1:11" x14ac:dyDescent="0.2">
      <c r="A323" s="56"/>
      <c r="B323" s="56"/>
      <c r="C323" s="56"/>
      <c r="D323" s="56"/>
      <c r="E323" s="56"/>
      <c r="F323" s="56"/>
      <c r="G323" s="56"/>
      <c r="H323" s="56"/>
      <c r="I323" s="56"/>
      <c r="J323" s="56"/>
      <c r="K323" s="56"/>
    </row>
    <row r="324" spans="1:11" x14ac:dyDescent="0.2">
      <c r="A324" s="56"/>
      <c r="B324" s="56"/>
      <c r="C324" s="56"/>
      <c r="D324" s="56"/>
      <c r="E324" s="56"/>
      <c r="F324" s="56"/>
      <c r="G324" s="56"/>
      <c r="H324" s="56"/>
      <c r="I324" s="56"/>
      <c r="J324" s="56"/>
      <c r="K324" s="56"/>
    </row>
    <row r="325" spans="1:11" x14ac:dyDescent="0.2">
      <c r="A325" s="56"/>
      <c r="B325" s="56"/>
      <c r="C325" s="56"/>
      <c r="D325" s="56"/>
      <c r="E325" s="56"/>
      <c r="F325" s="56"/>
      <c r="G325" s="56"/>
      <c r="H325" s="56"/>
      <c r="I325" s="56"/>
      <c r="J325" s="56"/>
      <c r="K325" s="56"/>
    </row>
    <row r="326" spans="1:11" x14ac:dyDescent="0.2">
      <c r="A326" s="56"/>
      <c r="B326" s="56"/>
      <c r="C326" s="56"/>
      <c r="D326" s="56"/>
      <c r="E326" s="56"/>
      <c r="F326" s="56"/>
      <c r="G326" s="56"/>
      <c r="H326" s="56"/>
      <c r="I326" s="56"/>
      <c r="J326" s="56"/>
      <c r="K326" s="56"/>
    </row>
    <row r="327" spans="1:11" x14ac:dyDescent="0.2">
      <c r="A327" s="56"/>
      <c r="B327" s="56"/>
      <c r="C327" s="56"/>
      <c r="D327" s="56"/>
      <c r="E327" s="56"/>
      <c r="F327" s="56"/>
      <c r="G327" s="56"/>
      <c r="H327" s="56"/>
      <c r="I327" s="56"/>
      <c r="J327" s="56"/>
      <c r="K327" s="56"/>
    </row>
    <row r="328" spans="1:11" x14ac:dyDescent="0.2">
      <c r="A328" s="56"/>
      <c r="B328" s="56"/>
      <c r="C328" s="56"/>
      <c r="D328" s="56"/>
      <c r="E328" s="56"/>
      <c r="F328" s="56"/>
      <c r="G328" s="56"/>
      <c r="H328" s="56"/>
      <c r="I328" s="56"/>
      <c r="J328" s="56"/>
      <c r="K328" s="56"/>
    </row>
    <row r="329" spans="1:11" x14ac:dyDescent="0.2">
      <c r="A329" s="56"/>
      <c r="B329" s="56"/>
      <c r="C329" s="56"/>
      <c r="D329" s="56"/>
      <c r="E329" s="56"/>
      <c r="F329" s="56"/>
      <c r="G329" s="56"/>
      <c r="H329" s="56"/>
      <c r="I329" s="56"/>
      <c r="J329" s="56"/>
      <c r="K329" s="56"/>
    </row>
    <row r="330" spans="1:11" x14ac:dyDescent="0.2">
      <c r="A330" s="56"/>
      <c r="B330" s="56"/>
      <c r="C330" s="56"/>
      <c r="D330" s="56"/>
      <c r="E330" s="56"/>
      <c r="F330" s="56"/>
      <c r="G330" s="56"/>
      <c r="H330" s="56"/>
      <c r="I330" s="56"/>
      <c r="J330" s="56"/>
      <c r="K330" s="56"/>
    </row>
    <row r="331" spans="1:11" x14ac:dyDescent="0.2">
      <c r="A331" s="56"/>
      <c r="B331" s="56"/>
      <c r="C331" s="56"/>
      <c r="D331" s="56"/>
      <c r="E331" s="56"/>
      <c r="F331" s="56"/>
      <c r="G331" s="56"/>
      <c r="H331" s="56"/>
      <c r="I331" s="56"/>
      <c r="J331" s="56"/>
      <c r="K331" s="56"/>
    </row>
    <row r="332" spans="1:11" x14ac:dyDescent="0.2">
      <c r="A332" s="56"/>
      <c r="B332" s="56"/>
      <c r="C332" s="56"/>
      <c r="D332" s="56"/>
      <c r="E332" s="56"/>
      <c r="F332" s="56"/>
      <c r="G332" s="56"/>
      <c r="H332" s="56"/>
      <c r="I332" s="56"/>
      <c r="J332" s="56"/>
      <c r="K332" s="56"/>
    </row>
    <row r="333" spans="1:11" x14ac:dyDescent="0.2">
      <c r="A333" s="56"/>
      <c r="B333" s="56"/>
      <c r="C333" s="56"/>
      <c r="D333" s="56"/>
      <c r="E333" s="56"/>
      <c r="F333" s="56"/>
      <c r="G333" s="56"/>
      <c r="H333" s="56"/>
      <c r="I333" s="56"/>
      <c r="J333" s="56"/>
      <c r="K333" s="56"/>
    </row>
    <row r="334" spans="1:11" x14ac:dyDescent="0.2">
      <c r="A334" s="56"/>
      <c r="B334" s="56"/>
      <c r="C334" s="56"/>
      <c r="D334" s="56"/>
      <c r="E334" s="56"/>
      <c r="F334" s="56"/>
      <c r="G334" s="56"/>
      <c r="H334" s="56"/>
      <c r="I334" s="56"/>
      <c r="J334" s="56"/>
      <c r="K334" s="56"/>
    </row>
    <row r="335" spans="1:11" x14ac:dyDescent="0.2">
      <c r="A335" s="56"/>
      <c r="B335" s="56"/>
      <c r="C335" s="56"/>
      <c r="D335" s="56"/>
      <c r="E335" s="56"/>
      <c r="F335" s="56"/>
      <c r="G335" s="56"/>
      <c r="H335" s="56"/>
      <c r="I335" s="56"/>
      <c r="J335" s="56"/>
      <c r="K335" s="56"/>
    </row>
    <row r="336" spans="1:11" x14ac:dyDescent="0.2">
      <c r="A336" s="56"/>
      <c r="B336" s="56"/>
      <c r="C336" s="56"/>
      <c r="D336" s="56"/>
      <c r="E336" s="56"/>
      <c r="F336" s="56"/>
      <c r="G336" s="56"/>
      <c r="H336" s="56"/>
      <c r="I336" s="56"/>
      <c r="J336" s="56"/>
      <c r="K336" s="56"/>
    </row>
    <row r="337" spans="1:11" x14ac:dyDescent="0.2">
      <c r="A337" s="56"/>
      <c r="B337" s="56"/>
      <c r="C337" s="56"/>
      <c r="D337" s="56"/>
      <c r="E337" s="56"/>
      <c r="F337" s="56"/>
      <c r="G337" s="56"/>
      <c r="H337" s="56"/>
      <c r="I337" s="56"/>
      <c r="J337" s="56"/>
      <c r="K337" s="56"/>
    </row>
    <row r="338" spans="1:11" x14ac:dyDescent="0.2">
      <c r="A338" s="56"/>
      <c r="B338" s="56"/>
      <c r="C338" s="56"/>
      <c r="D338" s="56"/>
      <c r="E338" s="56"/>
      <c r="F338" s="56"/>
      <c r="G338" s="56"/>
      <c r="H338" s="56"/>
      <c r="I338" s="56"/>
      <c r="J338" s="56"/>
      <c r="K338" s="56"/>
    </row>
    <row r="339" spans="1:11" x14ac:dyDescent="0.2">
      <c r="A339" s="56"/>
      <c r="B339" s="56"/>
      <c r="C339" s="56"/>
      <c r="D339" s="56"/>
      <c r="E339" s="56"/>
      <c r="F339" s="56"/>
      <c r="G339" s="56"/>
      <c r="H339" s="56"/>
      <c r="I339" s="56"/>
      <c r="J339" s="56"/>
      <c r="K339" s="56"/>
    </row>
    <row r="340" spans="1:11" x14ac:dyDescent="0.2">
      <c r="A340" s="56"/>
      <c r="B340" s="56"/>
      <c r="C340" s="56"/>
      <c r="D340" s="56"/>
      <c r="E340" s="56"/>
      <c r="F340" s="56"/>
      <c r="G340" s="56"/>
      <c r="H340" s="56"/>
      <c r="I340" s="56"/>
      <c r="J340" s="56"/>
      <c r="K340" s="56"/>
    </row>
    <row r="341" spans="1:11" x14ac:dyDescent="0.2">
      <c r="A341" s="56"/>
      <c r="B341" s="56"/>
      <c r="C341" s="56"/>
      <c r="D341" s="56"/>
      <c r="E341" s="56"/>
      <c r="F341" s="56"/>
      <c r="G341" s="56"/>
      <c r="H341" s="56"/>
      <c r="I341" s="56"/>
      <c r="J341" s="56"/>
      <c r="K341" s="56"/>
    </row>
    <row r="342" spans="1:11" x14ac:dyDescent="0.2">
      <c r="A342" s="56"/>
      <c r="B342" s="56"/>
      <c r="C342" s="56"/>
      <c r="D342" s="56"/>
      <c r="E342" s="56"/>
      <c r="F342" s="56"/>
      <c r="G342" s="56"/>
      <c r="H342" s="56"/>
      <c r="I342" s="56"/>
      <c r="J342" s="56"/>
      <c r="K342" s="56"/>
    </row>
    <row r="343" spans="1:11" x14ac:dyDescent="0.2">
      <c r="A343" s="56"/>
      <c r="B343" s="56"/>
      <c r="C343" s="56"/>
      <c r="D343" s="56"/>
      <c r="E343" s="56"/>
      <c r="F343" s="56"/>
      <c r="G343" s="56"/>
      <c r="H343" s="56"/>
      <c r="I343" s="56"/>
      <c r="J343" s="56"/>
      <c r="K343" s="56"/>
    </row>
    <row r="344" spans="1:11" x14ac:dyDescent="0.2">
      <c r="A344" s="56"/>
      <c r="B344" s="56"/>
      <c r="C344" s="56"/>
      <c r="D344" s="56"/>
      <c r="E344" s="56"/>
      <c r="F344" s="56"/>
      <c r="G344" s="56"/>
      <c r="H344" s="56"/>
      <c r="I344" s="56"/>
      <c r="J344" s="56"/>
      <c r="K344" s="56"/>
    </row>
    <row r="345" spans="1:11" x14ac:dyDescent="0.2">
      <c r="A345" s="56"/>
      <c r="B345" s="56"/>
      <c r="C345" s="56"/>
      <c r="D345" s="56"/>
      <c r="E345" s="56"/>
      <c r="F345" s="56"/>
      <c r="G345" s="56"/>
      <c r="H345" s="56"/>
      <c r="I345" s="56"/>
      <c r="J345" s="56"/>
      <c r="K345" s="56"/>
    </row>
    <row r="346" spans="1:11" x14ac:dyDescent="0.2">
      <c r="A346" s="56"/>
      <c r="B346" s="56"/>
      <c r="C346" s="56"/>
      <c r="D346" s="56"/>
      <c r="E346" s="56"/>
      <c r="F346" s="56"/>
      <c r="G346" s="56"/>
      <c r="H346" s="56"/>
      <c r="I346" s="56"/>
      <c r="J346" s="56"/>
      <c r="K346" s="56"/>
    </row>
    <row r="347" spans="1:11" x14ac:dyDescent="0.2">
      <c r="A347" s="56"/>
      <c r="B347" s="56"/>
      <c r="C347" s="56"/>
      <c r="D347" s="56"/>
      <c r="E347" s="56"/>
      <c r="F347" s="56"/>
      <c r="G347" s="56"/>
      <c r="H347" s="56"/>
      <c r="I347" s="56"/>
      <c r="J347" s="56"/>
      <c r="K347" s="56"/>
    </row>
    <row r="348" spans="1:11" x14ac:dyDescent="0.2">
      <c r="A348" s="56"/>
      <c r="B348" s="56"/>
      <c r="C348" s="56"/>
      <c r="D348" s="56"/>
      <c r="E348" s="56"/>
      <c r="F348" s="56"/>
      <c r="G348" s="56"/>
      <c r="H348" s="56"/>
      <c r="I348" s="56"/>
      <c r="J348" s="56"/>
      <c r="K348" s="56"/>
    </row>
    <row r="349" spans="1:11" x14ac:dyDescent="0.2">
      <c r="A349" s="56"/>
      <c r="B349" s="56"/>
      <c r="C349" s="56"/>
      <c r="D349" s="56"/>
      <c r="E349" s="56"/>
      <c r="F349" s="56"/>
      <c r="G349" s="56"/>
      <c r="H349" s="56"/>
      <c r="I349" s="56"/>
      <c r="J349" s="56"/>
      <c r="K349" s="56"/>
    </row>
    <row r="350" spans="1:11" x14ac:dyDescent="0.2">
      <c r="A350" s="56"/>
      <c r="B350" s="56"/>
      <c r="C350" s="56"/>
      <c r="D350" s="56"/>
      <c r="E350" s="56"/>
      <c r="F350" s="56"/>
      <c r="G350" s="56"/>
      <c r="H350" s="56"/>
      <c r="I350" s="56"/>
      <c r="J350" s="56"/>
      <c r="K350" s="56"/>
    </row>
    <row r="351" spans="1:11" x14ac:dyDescent="0.2">
      <c r="A351" s="56"/>
      <c r="B351" s="56"/>
      <c r="C351" s="56"/>
      <c r="D351" s="56"/>
      <c r="E351" s="56"/>
      <c r="F351" s="56"/>
      <c r="G351" s="56"/>
      <c r="H351" s="56"/>
      <c r="I351" s="56"/>
      <c r="J351" s="56"/>
      <c r="K351" s="56"/>
    </row>
    <row r="352" spans="1:11" x14ac:dyDescent="0.2">
      <c r="A352" s="56"/>
      <c r="B352" s="56"/>
      <c r="C352" s="56"/>
      <c r="D352" s="56"/>
      <c r="E352" s="56"/>
      <c r="F352" s="56"/>
      <c r="G352" s="56"/>
      <c r="H352" s="56"/>
      <c r="I352" s="56"/>
      <c r="J352" s="56"/>
      <c r="K352" s="56"/>
    </row>
    <row r="353" spans="1:11" x14ac:dyDescent="0.2">
      <c r="A353" s="56"/>
      <c r="B353" s="56"/>
      <c r="C353" s="56"/>
      <c r="D353" s="56"/>
      <c r="E353" s="56"/>
      <c r="F353" s="56"/>
      <c r="G353" s="56"/>
      <c r="H353" s="56"/>
      <c r="I353" s="56"/>
      <c r="J353" s="56"/>
      <c r="K353" s="56"/>
    </row>
    <row r="354" spans="1:11" x14ac:dyDescent="0.2">
      <c r="A354" s="56"/>
      <c r="B354" s="56"/>
      <c r="C354" s="56"/>
      <c r="D354" s="56"/>
      <c r="E354" s="56"/>
      <c r="F354" s="56"/>
      <c r="G354" s="56"/>
      <c r="H354" s="56"/>
      <c r="I354" s="56"/>
      <c r="J354" s="56"/>
      <c r="K354" s="56"/>
    </row>
    <row r="355" spans="1:11" x14ac:dyDescent="0.2">
      <c r="A355" s="56"/>
      <c r="B355" s="56"/>
      <c r="C355" s="56"/>
      <c r="D355" s="56"/>
      <c r="E355" s="56"/>
      <c r="F355" s="56"/>
      <c r="G355" s="56"/>
      <c r="H355" s="56"/>
      <c r="I355" s="56"/>
      <c r="J355" s="56"/>
      <c r="K355" s="56"/>
    </row>
    <row r="356" spans="1:11" x14ac:dyDescent="0.2">
      <c r="A356" s="56"/>
      <c r="B356" s="56"/>
      <c r="C356" s="56"/>
      <c r="D356" s="56"/>
      <c r="E356" s="56"/>
      <c r="F356" s="56"/>
      <c r="G356" s="56"/>
      <c r="H356" s="56"/>
      <c r="I356" s="56"/>
      <c r="J356" s="56"/>
      <c r="K356" s="56"/>
    </row>
    <row r="357" spans="1:11" x14ac:dyDescent="0.2">
      <c r="A357" s="56"/>
      <c r="B357" s="56"/>
      <c r="C357" s="56"/>
      <c r="D357" s="56"/>
      <c r="E357" s="56"/>
      <c r="F357" s="56"/>
      <c r="G357" s="56"/>
      <c r="H357" s="56"/>
      <c r="I357" s="56"/>
      <c r="J357" s="56"/>
      <c r="K357" s="56"/>
    </row>
    <row r="358" spans="1:11" x14ac:dyDescent="0.2">
      <c r="A358" s="56"/>
      <c r="B358" s="56"/>
      <c r="C358" s="56"/>
      <c r="D358" s="56"/>
      <c r="E358" s="56"/>
      <c r="F358" s="56"/>
      <c r="G358" s="56"/>
      <c r="H358" s="56"/>
      <c r="I358" s="56"/>
      <c r="J358" s="56"/>
      <c r="K358" s="56"/>
    </row>
    <row r="359" spans="1:11" x14ac:dyDescent="0.2">
      <c r="A359" s="56"/>
      <c r="B359" s="56"/>
      <c r="C359" s="56"/>
      <c r="D359" s="56"/>
      <c r="E359" s="56"/>
      <c r="F359" s="56"/>
      <c r="G359" s="56"/>
      <c r="H359" s="56"/>
      <c r="I359" s="56"/>
      <c r="J359" s="56"/>
      <c r="K359" s="56"/>
    </row>
    <row r="360" spans="1:11" x14ac:dyDescent="0.2">
      <c r="A360" s="56"/>
      <c r="B360" s="56"/>
      <c r="C360" s="56"/>
      <c r="D360" s="56"/>
      <c r="E360" s="56"/>
      <c r="F360" s="56"/>
      <c r="G360" s="56"/>
      <c r="H360" s="56"/>
      <c r="I360" s="56"/>
      <c r="J360" s="56"/>
      <c r="K360" s="56"/>
    </row>
    <row r="361" spans="1:11" x14ac:dyDescent="0.2">
      <c r="A361" s="56"/>
      <c r="B361" s="56"/>
      <c r="C361" s="56"/>
      <c r="D361" s="56"/>
      <c r="E361" s="56"/>
      <c r="F361" s="56"/>
      <c r="G361" s="56"/>
      <c r="H361" s="56"/>
      <c r="I361" s="56"/>
      <c r="J361" s="56"/>
      <c r="K361" s="56"/>
    </row>
    <row r="362" spans="1:11" x14ac:dyDescent="0.2">
      <c r="A362" s="56"/>
      <c r="B362" s="56"/>
      <c r="C362" s="56"/>
      <c r="D362" s="56"/>
      <c r="E362" s="56"/>
      <c r="F362" s="56"/>
      <c r="G362" s="56"/>
      <c r="H362" s="56"/>
      <c r="I362" s="56"/>
      <c r="J362" s="56"/>
      <c r="K362" s="56"/>
    </row>
    <row r="363" spans="1:11" x14ac:dyDescent="0.2">
      <c r="A363" s="56"/>
      <c r="B363" s="56"/>
      <c r="C363" s="56"/>
      <c r="D363" s="56"/>
      <c r="E363" s="56"/>
      <c r="F363" s="56"/>
      <c r="G363" s="56"/>
      <c r="H363" s="56"/>
      <c r="I363" s="56"/>
      <c r="J363" s="56"/>
      <c r="K363" s="56"/>
    </row>
    <row r="364" spans="1:11" x14ac:dyDescent="0.2">
      <c r="A364" s="56"/>
      <c r="B364" s="56"/>
      <c r="C364" s="56"/>
      <c r="D364" s="56"/>
      <c r="E364" s="56"/>
      <c r="F364" s="56"/>
      <c r="G364" s="56"/>
      <c r="H364" s="56"/>
      <c r="I364" s="56"/>
      <c r="J364" s="56"/>
      <c r="K364" s="56"/>
    </row>
    <row r="365" spans="1:11" x14ac:dyDescent="0.2">
      <c r="A365" s="56"/>
      <c r="B365" s="56"/>
      <c r="C365" s="56"/>
      <c r="D365" s="56"/>
      <c r="E365" s="56"/>
      <c r="F365" s="56"/>
      <c r="G365" s="56"/>
      <c r="H365" s="56"/>
      <c r="I365" s="56"/>
      <c r="J365" s="56"/>
      <c r="K365" s="56"/>
    </row>
    <row r="366" spans="1:11" x14ac:dyDescent="0.2">
      <c r="A366" s="56"/>
      <c r="B366" s="56"/>
      <c r="C366" s="56"/>
      <c r="D366" s="56"/>
      <c r="E366" s="56"/>
      <c r="F366" s="56"/>
      <c r="G366" s="56"/>
      <c r="H366" s="56"/>
      <c r="I366" s="56"/>
      <c r="J366" s="56"/>
      <c r="K366" s="56"/>
    </row>
    <row r="367" spans="1:11" x14ac:dyDescent="0.2">
      <c r="A367" s="56"/>
      <c r="B367" s="56"/>
      <c r="C367" s="56"/>
      <c r="D367" s="56"/>
      <c r="E367" s="56"/>
      <c r="F367" s="56"/>
      <c r="G367" s="56"/>
      <c r="H367" s="56"/>
      <c r="I367" s="56"/>
      <c r="J367" s="56"/>
      <c r="K367" s="56"/>
    </row>
    <row r="368" spans="1:11" x14ac:dyDescent="0.2">
      <c r="A368" s="56"/>
      <c r="B368" s="56"/>
      <c r="C368" s="56"/>
      <c r="D368" s="56"/>
      <c r="E368" s="56"/>
      <c r="F368" s="56"/>
      <c r="G368" s="56"/>
      <c r="H368" s="56"/>
      <c r="I368" s="56"/>
      <c r="J368" s="56"/>
      <c r="K368" s="56"/>
    </row>
    <row r="369" spans="1:11" x14ac:dyDescent="0.2">
      <c r="A369" s="56"/>
      <c r="B369" s="56"/>
      <c r="C369" s="56"/>
      <c r="D369" s="56"/>
      <c r="E369" s="56"/>
      <c r="F369" s="56"/>
      <c r="G369" s="56"/>
      <c r="H369" s="56"/>
      <c r="I369" s="56"/>
      <c r="J369" s="56"/>
      <c r="K369" s="56"/>
    </row>
    <row r="370" spans="1:11" x14ac:dyDescent="0.2">
      <c r="A370" s="56"/>
      <c r="B370" s="56"/>
      <c r="C370" s="56"/>
      <c r="D370" s="56"/>
      <c r="E370" s="56"/>
      <c r="F370" s="56"/>
      <c r="G370" s="56"/>
      <c r="H370" s="56"/>
      <c r="I370" s="56"/>
      <c r="J370" s="56"/>
      <c r="K370" s="56"/>
    </row>
    <row r="371" spans="1:11" x14ac:dyDescent="0.2">
      <c r="A371" s="56"/>
      <c r="B371" s="56"/>
      <c r="C371" s="56"/>
      <c r="D371" s="56"/>
      <c r="E371" s="56"/>
      <c r="F371" s="56"/>
      <c r="G371" s="56"/>
      <c r="H371" s="56"/>
      <c r="I371" s="56"/>
      <c r="J371" s="56"/>
      <c r="K371" s="56"/>
    </row>
    <row r="372" spans="1:11" x14ac:dyDescent="0.2">
      <c r="A372" s="56"/>
      <c r="B372" s="56"/>
      <c r="C372" s="56"/>
      <c r="D372" s="56"/>
      <c r="E372" s="56"/>
      <c r="F372" s="56"/>
      <c r="G372" s="56"/>
      <c r="H372" s="56"/>
      <c r="I372" s="56"/>
      <c r="J372" s="56"/>
      <c r="K372" s="56"/>
    </row>
    <row r="373" spans="1:11" x14ac:dyDescent="0.2">
      <c r="A373" s="56"/>
      <c r="B373" s="56"/>
      <c r="C373" s="56"/>
      <c r="D373" s="56"/>
      <c r="E373" s="56"/>
      <c r="F373" s="56"/>
      <c r="G373" s="56"/>
      <c r="H373" s="56"/>
      <c r="I373" s="56"/>
      <c r="J373" s="56"/>
      <c r="K373" s="56"/>
    </row>
    <row r="374" spans="1:11" x14ac:dyDescent="0.2">
      <c r="A374" s="56"/>
      <c r="B374" s="56"/>
      <c r="C374" s="56"/>
      <c r="D374" s="56"/>
      <c r="E374" s="56"/>
      <c r="F374" s="56"/>
      <c r="G374" s="56"/>
      <c r="H374" s="56"/>
      <c r="I374" s="56"/>
      <c r="J374" s="56"/>
      <c r="K374" s="56"/>
    </row>
    <row r="375" spans="1:11" x14ac:dyDescent="0.2">
      <c r="A375" s="56"/>
      <c r="B375" s="56"/>
      <c r="C375" s="56"/>
      <c r="D375" s="56"/>
      <c r="E375" s="56"/>
      <c r="F375" s="56"/>
      <c r="G375" s="56"/>
      <c r="H375" s="56"/>
      <c r="I375" s="56"/>
      <c r="J375" s="56"/>
      <c r="K375" s="56"/>
    </row>
    <row r="376" spans="1:11" x14ac:dyDescent="0.2">
      <c r="A376" s="56"/>
      <c r="B376" s="56"/>
      <c r="C376" s="56"/>
      <c r="D376" s="56"/>
      <c r="E376" s="56"/>
      <c r="F376" s="56"/>
      <c r="G376" s="56"/>
      <c r="H376" s="56"/>
      <c r="I376" s="56"/>
      <c r="J376" s="56"/>
      <c r="K376" s="56"/>
    </row>
    <row r="377" spans="1:11" x14ac:dyDescent="0.2">
      <c r="A377" s="56"/>
      <c r="B377" s="56"/>
      <c r="C377" s="56"/>
      <c r="D377" s="56"/>
      <c r="E377" s="56"/>
      <c r="F377" s="56"/>
      <c r="G377" s="56"/>
      <c r="H377" s="56"/>
      <c r="I377" s="56"/>
      <c r="J377" s="56"/>
      <c r="K377" s="56"/>
    </row>
    <row r="378" spans="1:11" x14ac:dyDescent="0.2">
      <c r="A378" s="56"/>
      <c r="B378" s="56"/>
      <c r="C378" s="56"/>
      <c r="D378" s="56"/>
      <c r="E378" s="56"/>
      <c r="F378" s="56"/>
      <c r="G378" s="56"/>
      <c r="H378" s="56"/>
      <c r="I378" s="56"/>
      <c r="J378" s="56"/>
      <c r="K378" s="56"/>
    </row>
    <row r="379" spans="1:11" x14ac:dyDescent="0.2">
      <c r="A379" s="56"/>
      <c r="B379" s="56"/>
      <c r="C379" s="56"/>
      <c r="D379" s="56"/>
      <c r="E379" s="56"/>
      <c r="F379" s="56"/>
      <c r="G379" s="56"/>
      <c r="H379" s="56"/>
      <c r="I379" s="56"/>
      <c r="J379" s="56"/>
      <c r="K379" s="56"/>
    </row>
    <row r="380" spans="1:11" x14ac:dyDescent="0.2">
      <c r="A380" s="56"/>
      <c r="B380" s="56"/>
      <c r="C380" s="56"/>
      <c r="D380" s="56"/>
      <c r="E380" s="56"/>
      <c r="F380" s="56"/>
      <c r="G380" s="56"/>
      <c r="H380" s="56"/>
      <c r="I380" s="56"/>
      <c r="J380" s="56"/>
      <c r="K380" s="56"/>
    </row>
    <row r="381" spans="1:11" x14ac:dyDescent="0.2">
      <c r="A381" s="56"/>
      <c r="B381" s="56"/>
      <c r="C381" s="56"/>
      <c r="D381" s="56"/>
      <c r="E381" s="56"/>
      <c r="F381" s="56"/>
      <c r="G381" s="56"/>
      <c r="H381" s="56"/>
      <c r="I381" s="56"/>
      <c r="J381" s="56"/>
      <c r="K381" s="56"/>
    </row>
    <row r="382" spans="1:11" x14ac:dyDescent="0.2">
      <c r="A382" s="56"/>
      <c r="B382" s="56"/>
      <c r="C382" s="56"/>
      <c r="D382" s="56"/>
      <c r="E382" s="56"/>
      <c r="F382" s="56"/>
      <c r="G382" s="56"/>
      <c r="H382" s="56"/>
      <c r="I382" s="56"/>
      <c r="J382" s="56"/>
      <c r="K382" s="56"/>
    </row>
    <row r="383" spans="1:11" x14ac:dyDescent="0.2">
      <c r="A383" s="56"/>
      <c r="B383" s="56"/>
      <c r="C383" s="56"/>
      <c r="D383" s="56"/>
      <c r="E383" s="56"/>
      <c r="F383" s="56"/>
      <c r="G383" s="56"/>
      <c r="H383" s="56"/>
      <c r="I383" s="56"/>
      <c r="J383" s="56"/>
      <c r="K383" s="56"/>
    </row>
    <row r="384" spans="1:11" x14ac:dyDescent="0.2">
      <c r="A384" s="56"/>
      <c r="B384" s="56"/>
      <c r="C384" s="56"/>
      <c r="D384" s="56"/>
      <c r="E384" s="56"/>
      <c r="F384" s="56"/>
      <c r="G384" s="56"/>
      <c r="H384" s="56"/>
      <c r="I384" s="56"/>
      <c r="J384" s="56"/>
      <c r="K384" s="56"/>
    </row>
    <row r="385" spans="1:11" x14ac:dyDescent="0.2">
      <c r="A385" s="56"/>
      <c r="B385" s="56"/>
      <c r="C385" s="56"/>
      <c r="D385" s="56"/>
      <c r="E385" s="56"/>
      <c r="F385" s="56"/>
      <c r="G385" s="56"/>
      <c r="H385" s="56"/>
      <c r="I385" s="56"/>
      <c r="J385" s="56"/>
      <c r="K385" s="56"/>
    </row>
    <row r="386" spans="1:11" x14ac:dyDescent="0.2">
      <c r="A386" s="56"/>
      <c r="B386" s="56"/>
      <c r="C386" s="56"/>
      <c r="D386" s="56"/>
      <c r="E386" s="56"/>
      <c r="F386" s="56"/>
      <c r="G386" s="56"/>
      <c r="H386" s="56"/>
      <c r="I386" s="56"/>
      <c r="J386" s="56"/>
      <c r="K386" s="56"/>
    </row>
    <row r="387" spans="1:11" x14ac:dyDescent="0.2">
      <c r="A387" s="56"/>
      <c r="B387" s="56"/>
      <c r="C387" s="56"/>
      <c r="D387" s="56"/>
      <c r="E387" s="56"/>
      <c r="F387" s="56"/>
      <c r="G387" s="56"/>
      <c r="H387" s="56"/>
      <c r="I387" s="56"/>
      <c r="J387" s="56"/>
      <c r="K387" s="56"/>
    </row>
    <row r="388" spans="1:11" x14ac:dyDescent="0.2">
      <c r="A388" s="56"/>
      <c r="B388" s="56"/>
      <c r="C388" s="56"/>
      <c r="D388" s="56"/>
      <c r="E388" s="56"/>
      <c r="F388" s="56"/>
      <c r="G388" s="56"/>
      <c r="H388" s="56"/>
      <c r="I388" s="56"/>
      <c r="J388" s="56"/>
      <c r="K388" s="56"/>
    </row>
    <row r="389" spans="1:11" x14ac:dyDescent="0.2">
      <c r="A389" s="56"/>
      <c r="B389" s="56"/>
      <c r="C389" s="56"/>
      <c r="D389" s="56"/>
      <c r="E389" s="56"/>
      <c r="F389" s="56"/>
      <c r="G389" s="56"/>
      <c r="H389" s="56"/>
      <c r="I389" s="56"/>
      <c r="J389" s="56"/>
      <c r="K389" s="56"/>
    </row>
    <row r="390" spans="1:11" x14ac:dyDescent="0.2">
      <c r="A390" s="56"/>
      <c r="B390" s="56"/>
      <c r="C390" s="56"/>
      <c r="D390" s="56"/>
      <c r="E390" s="56"/>
      <c r="F390" s="56"/>
      <c r="G390" s="56"/>
      <c r="H390" s="56"/>
      <c r="I390" s="56"/>
      <c r="J390" s="56"/>
      <c r="K390" s="56"/>
    </row>
    <row r="391" spans="1:11" x14ac:dyDescent="0.2">
      <c r="A391" s="56"/>
      <c r="B391" s="56"/>
      <c r="C391" s="56"/>
      <c r="D391" s="56"/>
      <c r="E391" s="56"/>
      <c r="F391" s="56"/>
      <c r="G391" s="56"/>
      <c r="H391" s="56"/>
      <c r="I391" s="56"/>
      <c r="J391" s="56"/>
      <c r="K391" s="56"/>
    </row>
    <row r="392" spans="1:11" x14ac:dyDescent="0.2">
      <c r="A392" s="56"/>
      <c r="B392" s="56"/>
      <c r="C392" s="56"/>
      <c r="D392" s="56"/>
      <c r="E392" s="56"/>
      <c r="F392" s="56"/>
      <c r="G392" s="56"/>
      <c r="H392" s="56"/>
      <c r="I392" s="56"/>
      <c r="J392" s="56"/>
      <c r="K392" s="56"/>
    </row>
    <row r="393" spans="1:11" x14ac:dyDescent="0.2">
      <c r="A393" s="56"/>
      <c r="B393" s="56"/>
      <c r="C393" s="56"/>
      <c r="D393" s="56"/>
      <c r="E393" s="56"/>
      <c r="F393" s="56"/>
      <c r="G393" s="56"/>
      <c r="H393" s="56"/>
      <c r="I393" s="56"/>
      <c r="J393" s="56"/>
      <c r="K393" s="56"/>
    </row>
    <row r="394" spans="1:11" x14ac:dyDescent="0.2">
      <c r="A394" s="56"/>
      <c r="B394" s="56"/>
      <c r="C394" s="56"/>
      <c r="D394" s="56"/>
      <c r="E394" s="56"/>
      <c r="F394" s="56"/>
      <c r="G394" s="56"/>
      <c r="H394" s="56"/>
      <c r="I394" s="56"/>
      <c r="J394" s="56"/>
      <c r="K394" s="56"/>
    </row>
    <row r="395" spans="1:11" x14ac:dyDescent="0.2">
      <c r="A395" s="56"/>
      <c r="B395" s="56"/>
      <c r="C395" s="56"/>
      <c r="D395" s="56"/>
      <c r="E395" s="56"/>
      <c r="F395" s="56"/>
      <c r="G395" s="56"/>
      <c r="H395" s="56"/>
      <c r="I395" s="56"/>
      <c r="J395" s="56"/>
      <c r="K395" s="56"/>
    </row>
    <row r="396" spans="1:11" x14ac:dyDescent="0.2">
      <c r="A396" s="56"/>
      <c r="B396" s="56"/>
      <c r="C396" s="56"/>
      <c r="D396" s="56"/>
      <c r="E396" s="56"/>
      <c r="F396" s="56"/>
      <c r="G396" s="56"/>
      <c r="H396" s="56"/>
      <c r="I396" s="56"/>
      <c r="J396" s="56"/>
      <c r="K396" s="56"/>
    </row>
    <row r="397" spans="1:11" x14ac:dyDescent="0.2">
      <c r="A397" s="56"/>
      <c r="B397" s="56"/>
      <c r="C397" s="56"/>
      <c r="D397" s="56"/>
      <c r="E397" s="56"/>
      <c r="F397" s="56"/>
      <c r="G397" s="56"/>
      <c r="H397" s="56"/>
      <c r="I397" s="56"/>
      <c r="J397" s="56"/>
      <c r="K397" s="56"/>
    </row>
    <row r="398" spans="1:11" x14ac:dyDescent="0.2">
      <c r="A398" s="56"/>
      <c r="B398" s="56"/>
      <c r="C398" s="56"/>
      <c r="D398" s="56"/>
      <c r="E398" s="56"/>
      <c r="F398" s="56"/>
      <c r="G398" s="56"/>
      <c r="H398" s="56"/>
      <c r="I398" s="56"/>
      <c r="J398" s="56"/>
      <c r="K398" s="56"/>
    </row>
    <row r="399" spans="1:11" x14ac:dyDescent="0.2">
      <c r="A399" s="56"/>
      <c r="B399" s="56"/>
      <c r="C399" s="56"/>
      <c r="D399" s="56"/>
      <c r="E399" s="56"/>
      <c r="F399" s="56"/>
      <c r="G399" s="56"/>
      <c r="H399" s="56"/>
      <c r="I399" s="56"/>
      <c r="J399" s="56"/>
      <c r="K399" s="56"/>
    </row>
    <row r="400" spans="1:11" x14ac:dyDescent="0.2">
      <c r="A400" s="56"/>
      <c r="B400" s="56"/>
      <c r="C400" s="56"/>
      <c r="D400" s="56"/>
      <c r="E400" s="56"/>
      <c r="F400" s="56"/>
      <c r="G400" s="56"/>
      <c r="H400" s="56"/>
      <c r="I400" s="56"/>
      <c r="J400" s="56"/>
      <c r="K400" s="56"/>
    </row>
    <row r="401" spans="1:11" x14ac:dyDescent="0.2">
      <c r="A401" s="56"/>
      <c r="B401" s="56"/>
      <c r="C401" s="56"/>
      <c r="D401" s="56"/>
      <c r="E401" s="56"/>
      <c r="F401" s="56"/>
      <c r="G401" s="56"/>
      <c r="H401" s="56"/>
      <c r="I401" s="56"/>
      <c r="J401" s="56"/>
      <c r="K401" s="56"/>
    </row>
    <row r="402" spans="1:11" x14ac:dyDescent="0.2">
      <c r="A402" s="56"/>
      <c r="B402" s="56"/>
      <c r="C402" s="56"/>
      <c r="D402" s="56"/>
      <c r="E402" s="56"/>
      <c r="F402" s="56"/>
      <c r="G402" s="56"/>
      <c r="H402" s="56"/>
      <c r="I402" s="56"/>
      <c r="J402" s="56"/>
      <c r="K402" s="56"/>
    </row>
    <row r="403" spans="1:11" x14ac:dyDescent="0.2">
      <c r="A403" s="56"/>
      <c r="B403" s="56"/>
      <c r="C403" s="56"/>
      <c r="D403" s="56"/>
      <c r="E403" s="56"/>
      <c r="F403" s="56"/>
      <c r="G403" s="56"/>
      <c r="H403" s="56"/>
      <c r="I403" s="56"/>
      <c r="J403" s="56"/>
      <c r="K403" s="56"/>
    </row>
    <row r="404" spans="1:11" x14ac:dyDescent="0.2">
      <c r="A404" s="56"/>
      <c r="B404" s="56"/>
      <c r="C404" s="56"/>
      <c r="D404" s="56"/>
      <c r="E404" s="56"/>
      <c r="F404" s="56"/>
      <c r="G404" s="56"/>
      <c r="H404" s="56"/>
      <c r="I404" s="56"/>
      <c r="J404" s="56"/>
      <c r="K404" s="56"/>
    </row>
    <row r="405" spans="1:11" x14ac:dyDescent="0.2">
      <c r="A405" s="56"/>
      <c r="B405" s="56"/>
      <c r="C405" s="56"/>
      <c r="D405" s="56"/>
      <c r="E405" s="56"/>
      <c r="F405" s="56"/>
      <c r="G405" s="56"/>
      <c r="H405" s="56"/>
      <c r="I405" s="56"/>
      <c r="J405" s="56"/>
      <c r="K405" s="56"/>
    </row>
    <row r="406" spans="1:11" x14ac:dyDescent="0.2">
      <c r="A406" s="56"/>
      <c r="B406" s="56"/>
      <c r="C406" s="56"/>
      <c r="D406" s="56"/>
      <c r="E406" s="56"/>
      <c r="F406" s="56"/>
      <c r="G406" s="56"/>
      <c r="H406" s="56"/>
      <c r="I406" s="56"/>
      <c r="J406" s="56"/>
      <c r="K406" s="56"/>
    </row>
    <row r="407" spans="1:11" x14ac:dyDescent="0.2">
      <c r="A407" s="56"/>
      <c r="B407" s="56"/>
      <c r="C407" s="56"/>
      <c r="D407" s="56"/>
      <c r="E407" s="56"/>
      <c r="F407" s="56"/>
      <c r="G407" s="56"/>
      <c r="H407" s="56"/>
      <c r="I407" s="56"/>
      <c r="J407" s="56"/>
      <c r="K407" s="56"/>
    </row>
    <row r="408" spans="1:11" x14ac:dyDescent="0.2">
      <c r="A408" s="56"/>
      <c r="B408" s="56"/>
      <c r="C408" s="56"/>
      <c r="D408" s="56"/>
      <c r="E408" s="56"/>
      <c r="F408" s="56"/>
      <c r="G408" s="56"/>
      <c r="H408" s="56"/>
      <c r="I408" s="56"/>
      <c r="J408" s="56"/>
      <c r="K408" s="56"/>
    </row>
    <row r="409" spans="1:11" x14ac:dyDescent="0.2">
      <c r="A409" s="56"/>
      <c r="B409" s="56"/>
      <c r="C409" s="56"/>
      <c r="D409" s="56"/>
      <c r="E409" s="56"/>
      <c r="F409" s="56"/>
      <c r="G409" s="56"/>
      <c r="H409" s="56"/>
      <c r="I409" s="56"/>
      <c r="J409" s="56"/>
      <c r="K409" s="56"/>
    </row>
    <row r="410" spans="1:11" x14ac:dyDescent="0.2">
      <c r="A410" s="56"/>
      <c r="B410" s="56"/>
      <c r="C410" s="56"/>
      <c r="D410" s="56"/>
      <c r="E410" s="56"/>
      <c r="F410" s="56"/>
      <c r="G410" s="56"/>
      <c r="H410" s="56"/>
      <c r="I410" s="56"/>
      <c r="J410" s="56"/>
      <c r="K410" s="56"/>
    </row>
    <row r="411" spans="1:11" x14ac:dyDescent="0.2">
      <c r="A411" s="56"/>
      <c r="B411" s="56"/>
      <c r="C411" s="56"/>
      <c r="D411" s="56"/>
      <c r="E411" s="56"/>
      <c r="F411" s="56"/>
      <c r="G411" s="56"/>
      <c r="H411" s="56"/>
      <c r="I411" s="56"/>
      <c r="J411" s="56"/>
      <c r="K411" s="56"/>
    </row>
    <row r="412" spans="1:11" x14ac:dyDescent="0.2">
      <c r="A412" s="56"/>
      <c r="B412" s="56"/>
      <c r="C412" s="56"/>
      <c r="D412" s="56"/>
      <c r="E412" s="56"/>
      <c r="F412" s="56"/>
      <c r="G412" s="56"/>
      <c r="H412" s="56"/>
      <c r="I412" s="56"/>
      <c r="J412" s="56"/>
      <c r="K412" s="56"/>
    </row>
    <row r="413" spans="1:11" x14ac:dyDescent="0.2">
      <c r="A413" s="56"/>
      <c r="B413" s="56"/>
      <c r="C413" s="56"/>
      <c r="D413" s="56"/>
      <c r="E413" s="56"/>
      <c r="F413" s="56"/>
      <c r="G413" s="56"/>
      <c r="H413" s="56"/>
      <c r="I413" s="56"/>
      <c r="J413" s="56"/>
      <c r="K413" s="56"/>
    </row>
    <row r="414" spans="1:11" x14ac:dyDescent="0.2">
      <c r="A414" s="56"/>
      <c r="B414" s="56"/>
      <c r="C414" s="56"/>
      <c r="D414" s="56"/>
      <c r="E414" s="56"/>
      <c r="F414" s="56"/>
      <c r="G414" s="56"/>
      <c r="H414" s="56"/>
      <c r="I414" s="56"/>
      <c r="J414" s="56"/>
      <c r="K414" s="56"/>
    </row>
    <row r="415" spans="1:11" x14ac:dyDescent="0.2">
      <c r="A415" s="56"/>
      <c r="B415" s="56"/>
      <c r="C415" s="56"/>
      <c r="D415" s="56"/>
      <c r="E415" s="56"/>
      <c r="F415" s="56"/>
      <c r="G415" s="56"/>
      <c r="H415" s="56"/>
      <c r="I415" s="56"/>
      <c r="J415" s="56"/>
      <c r="K415" s="56"/>
    </row>
    <row r="416" spans="1:11" x14ac:dyDescent="0.2">
      <c r="A416" s="56"/>
      <c r="B416" s="56"/>
      <c r="C416" s="56"/>
      <c r="D416" s="56"/>
      <c r="E416" s="56"/>
      <c r="F416" s="56"/>
      <c r="G416" s="56"/>
      <c r="H416" s="56"/>
      <c r="I416" s="56"/>
      <c r="J416" s="56"/>
      <c r="K416" s="56"/>
    </row>
    <row r="417" spans="1:11" x14ac:dyDescent="0.2">
      <c r="A417" s="56"/>
      <c r="B417" s="56"/>
      <c r="C417" s="56"/>
      <c r="D417" s="56"/>
      <c r="E417" s="56"/>
      <c r="F417" s="56"/>
      <c r="G417" s="56"/>
      <c r="H417" s="56"/>
      <c r="I417" s="56"/>
      <c r="J417" s="56"/>
      <c r="K417" s="56"/>
    </row>
    <row r="418" spans="1:11" x14ac:dyDescent="0.2">
      <c r="A418" s="56"/>
      <c r="B418" s="56"/>
      <c r="C418" s="56"/>
      <c r="D418" s="56"/>
      <c r="E418" s="56"/>
      <c r="F418" s="56"/>
      <c r="G418" s="56"/>
      <c r="H418" s="56"/>
      <c r="I418" s="56"/>
      <c r="J418" s="56"/>
      <c r="K418" s="56"/>
    </row>
    <row r="419" spans="1:11" x14ac:dyDescent="0.2">
      <c r="A419" s="56"/>
      <c r="B419" s="56"/>
      <c r="C419" s="56"/>
      <c r="D419" s="56"/>
      <c r="E419" s="56"/>
      <c r="F419" s="56"/>
      <c r="G419" s="56"/>
      <c r="H419" s="56"/>
      <c r="I419" s="56"/>
      <c r="J419" s="56"/>
      <c r="K419" s="56"/>
    </row>
    <row r="420" spans="1:11" x14ac:dyDescent="0.2">
      <c r="A420" s="56"/>
      <c r="B420" s="56"/>
      <c r="C420" s="56"/>
      <c r="D420" s="56"/>
      <c r="E420" s="56"/>
      <c r="F420" s="56"/>
      <c r="G420" s="56"/>
      <c r="H420" s="56"/>
      <c r="I420" s="56"/>
      <c r="J420" s="56"/>
      <c r="K420" s="56"/>
    </row>
    <row r="421" spans="1:11" x14ac:dyDescent="0.2">
      <c r="A421" s="56"/>
      <c r="B421" s="56"/>
      <c r="C421" s="56"/>
      <c r="D421" s="56"/>
      <c r="E421" s="56"/>
      <c r="F421" s="56"/>
      <c r="G421" s="56"/>
      <c r="H421" s="56"/>
      <c r="I421" s="56"/>
      <c r="J421" s="56"/>
      <c r="K421" s="56"/>
    </row>
    <row r="422" spans="1:11" x14ac:dyDescent="0.2">
      <c r="A422" s="56"/>
      <c r="B422" s="56"/>
      <c r="C422" s="56"/>
      <c r="D422" s="56"/>
      <c r="E422" s="56"/>
      <c r="F422" s="56"/>
      <c r="G422" s="56"/>
      <c r="H422" s="56"/>
      <c r="I422" s="56"/>
      <c r="J422" s="56"/>
      <c r="K422" s="56"/>
    </row>
    <row r="423" spans="1:11" x14ac:dyDescent="0.2">
      <c r="A423" s="56"/>
      <c r="B423" s="56"/>
      <c r="C423" s="56"/>
      <c r="D423" s="56"/>
      <c r="E423" s="56"/>
      <c r="F423" s="56"/>
      <c r="G423" s="56"/>
      <c r="H423" s="56"/>
      <c r="I423" s="56"/>
      <c r="J423" s="56"/>
      <c r="K423" s="56"/>
    </row>
    <row r="424" spans="1:11" x14ac:dyDescent="0.2">
      <c r="A424" s="56"/>
      <c r="B424" s="56"/>
      <c r="C424" s="56"/>
      <c r="D424" s="56"/>
      <c r="E424" s="56"/>
      <c r="F424" s="56"/>
      <c r="G424" s="56"/>
      <c r="H424" s="56"/>
      <c r="I424" s="56"/>
      <c r="J424" s="56"/>
      <c r="K424" s="56"/>
    </row>
    <row r="425" spans="1:11" x14ac:dyDescent="0.2">
      <c r="A425" s="56"/>
      <c r="B425" s="56"/>
      <c r="C425" s="56"/>
      <c r="D425" s="56"/>
      <c r="E425" s="56"/>
      <c r="F425" s="56"/>
      <c r="G425" s="56"/>
      <c r="H425" s="56"/>
      <c r="I425" s="56"/>
      <c r="J425" s="56"/>
      <c r="K425" s="56"/>
    </row>
    <row r="426" spans="1:11" x14ac:dyDescent="0.2">
      <c r="A426" s="56"/>
      <c r="B426" s="56"/>
      <c r="C426" s="56"/>
      <c r="D426" s="56"/>
      <c r="E426" s="56"/>
      <c r="F426" s="56"/>
      <c r="G426" s="56"/>
      <c r="H426" s="56"/>
      <c r="I426" s="56"/>
      <c r="J426" s="56"/>
      <c r="K426" s="56"/>
    </row>
    <row r="427" spans="1:11" x14ac:dyDescent="0.2">
      <c r="A427" s="56"/>
      <c r="B427" s="56"/>
      <c r="C427" s="56"/>
      <c r="D427" s="56"/>
      <c r="E427" s="56"/>
      <c r="F427" s="56"/>
      <c r="G427" s="56"/>
      <c r="H427" s="56"/>
      <c r="I427" s="56"/>
      <c r="J427" s="56"/>
      <c r="K427" s="56"/>
    </row>
    <row r="428" spans="1:11" x14ac:dyDescent="0.2">
      <c r="A428" s="56"/>
      <c r="B428" s="56"/>
      <c r="C428" s="56"/>
      <c r="D428" s="56"/>
      <c r="E428" s="56"/>
      <c r="F428" s="56"/>
      <c r="G428" s="56"/>
      <c r="H428" s="56"/>
      <c r="I428" s="56"/>
      <c r="J428" s="56"/>
      <c r="K428" s="56"/>
    </row>
    <row r="429" spans="1:11" x14ac:dyDescent="0.2">
      <c r="A429" s="56"/>
      <c r="B429" s="56"/>
      <c r="C429" s="56"/>
      <c r="D429" s="56"/>
      <c r="E429" s="56"/>
      <c r="F429" s="56"/>
      <c r="G429" s="56"/>
      <c r="H429" s="56"/>
      <c r="I429" s="56"/>
      <c r="J429" s="56"/>
      <c r="K429" s="56"/>
    </row>
    <row r="430" spans="1:11" x14ac:dyDescent="0.2">
      <c r="A430" s="56"/>
      <c r="B430" s="56"/>
      <c r="C430" s="56"/>
      <c r="D430" s="56"/>
      <c r="E430" s="56"/>
      <c r="F430" s="56"/>
      <c r="G430" s="56"/>
      <c r="H430" s="56"/>
      <c r="I430" s="56"/>
      <c r="J430" s="56"/>
      <c r="K430" s="56"/>
    </row>
    <row r="431" spans="1:11" x14ac:dyDescent="0.2">
      <c r="A431" s="56"/>
      <c r="B431" s="56"/>
      <c r="C431" s="56"/>
      <c r="D431" s="56"/>
      <c r="E431" s="56"/>
      <c r="F431" s="56"/>
      <c r="G431" s="56"/>
      <c r="H431" s="56"/>
      <c r="I431" s="56"/>
      <c r="J431" s="56"/>
      <c r="K431" s="56"/>
    </row>
    <row r="432" spans="1:11" x14ac:dyDescent="0.2">
      <c r="A432" s="56"/>
      <c r="B432" s="56"/>
      <c r="C432" s="56"/>
      <c r="D432" s="56"/>
      <c r="E432" s="56"/>
      <c r="F432" s="56"/>
      <c r="G432" s="56"/>
      <c r="H432" s="56"/>
      <c r="I432" s="56"/>
      <c r="J432" s="56"/>
      <c r="K432" s="56"/>
    </row>
    <row r="433" spans="1:11" x14ac:dyDescent="0.2">
      <c r="A433" s="56"/>
      <c r="B433" s="56"/>
      <c r="C433" s="56"/>
      <c r="D433" s="56"/>
      <c r="E433" s="56"/>
      <c r="F433" s="56"/>
      <c r="G433" s="56"/>
      <c r="H433" s="56"/>
      <c r="I433" s="56"/>
      <c r="J433" s="56"/>
      <c r="K433" s="56"/>
    </row>
    <row r="434" spans="1:11" x14ac:dyDescent="0.2">
      <c r="A434" s="56"/>
      <c r="B434" s="56"/>
      <c r="C434" s="56"/>
      <c r="D434" s="56"/>
      <c r="E434" s="56"/>
      <c r="F434" s="56"/>
      <c r="G434" s="56"/>
      <c r="H434" s="56"/>
      <c r="I434" s="56"/>
      <c r="J434" s="56"/>
      <c r="K434" s="56"/>
    </row>
    <row r="435" spans="1:11" x14ac:dyDescent="0.2">
      <c r="A435" s="56"/>
      <c r="B435" s="56"/>
      <c r="C435" s="56"/>
      <c r="D435" s="56"/>
      <c r="E435" s="56"/>
      <c r="F435" s="56"/>
      <c r="G435" s="56"/>
      <c r="H435" s="56"/>
      <c r="I435" s="56"/>
      <c r="J435" s="56"/>
      <c r="K435" s="56"/>
    </row>
    <row r="436" spans="1:11" x14ac:dyDescent="0.2">
      <c r="A436" s="56"/>
      <c r="B436" s="56"/>
      <c r="C436" s="56"/>
      <c r="D436" s="56"/>
      <c r="E436" s="56"/>
      <c r="F436" s="56"/>
      <c r="G436" s="56"/>
      <c r="H436" s="56"/>
      <c r="I436" s="56"/>
      <c r="J436" s="56"/>
      <c r="K436" s="56"/>
    </row>
    <row r="437" spans="1:11" x14ac:dyDescent="0.2">
      <c r="A437" s="56"/>
      <c r="B437" s="56"/>
      <c r="C437" s="56"/>
      <c r="D437" s="56"/>
      <c r="E437" s="56"/>
      <c r="F437" s="56"/>
      <c r="G437" s="56"/>
      <c r="H437" s="56"/>
      <c r="I437" s="56"/>
      <c r="J437" s="56"/>
      <c r="K437" s="56"/>
    </row>
    <row r="438" spans="1:11" x14ac:dyDescent="0.2">
      <c r="A438" s="56"/>
      <c r="B438" s="56"/>
      <c r="C438" s="56"/>
      <c r="D438" s="56"/>
      <c r="E438" s="56"/>
      <c r="F438" s="56"/>
      <c r="G438" s="56"/>
      <c r="H438" s="56"/>
      <c r="I438" s="56"/>
      <c r="J438" s="56"/>
      <c r="K438" s="56"/>
    </row>
    <row r="439" spans="1:11" x14ac:dyDescent="0.2">
      <c r="A439" s="56"/>
      <c r="B439" s="56"/>
      <c r="C439" s="56"/>
      <c r="D439" s="56"/>
      <c r="E439" s="56"/>
      <c r="F439" s="56"/>
      <c r="G439" s="56"/>
      <c r="H439" s="56"/>
      <c r="I439" s="56"/>
      <c r="J439" s="56"/>
      <c r="K439" s="56"/>
    </row>
    <row r="440" spans="1:11" x14ac:dyDescent="0.2">
      <c r="A440" s="56"/>
      <c r="B440" s="56"/>
      <c r="C440" s="56"/>
      <c r="D440" s="56"/>
      <c r="E440" s="56"/>
      <c r="F440" s="56"/>
      <c r="G440" s="56"/>
      <c r="H440" s="56"/>
      <c r="I440" s="56"/>
      <c r="J440" s="56"/>
      <c r="K440" s="56"/>
    </row>
    <row r="441" spans="1:11" x14ac:dyDescent="0.2">
      <c r="A441" s="56"/>
      <c r="B441" s="56"/>
      <c r="C441" s="56"/>
      <c r="D441" s="56"/>
      <c r="E441" s="56"/>
      <c r="F441" s="56"/>
      <c r="G441" s="56"/>
      <c r="H441" s="56"/>
      <c r="I441" s="56"/>
      <c r="J441" s="56"/>
      <c r="K441" s="56"/>
    </row>
    <row r="442" spans="1:11" x14ac:dyDescent="0.2">
      <c r="A442" s="56"/>
      <c r="B442" s="56"/>
      <c r="C442" s="56"/>
      <c r="D442" s="56"/>
      <c r="E442" s="56"/>
      <c r="F442" s="56"/>
      <c r="G442" s="56"/>
      <c r="H442" s="56"/>
      <c r="I442" s="56"/>
      <c r="J442" s="56"/>
      <c r="K442" s="56"/>
    </row>
    <row r="443" spans="1:11" x14ac:dyDescent="0.2">
      <c r="A443" s="56"/>
      <c r="B443" s="56"/>
      <c r="C443" s="56"/>
      <c r="D443" s="56"/>
      <c r="E443" s="56"/>
      <c r="F443" s="56"/>
      <c r="G443" s="56"/>
      <c r="H443" s="56"/>
      <c r="I443" s="56"/>
      <c r="J443" s="56"/>
      <c r="K443" s="56"/>
    </row>
    <row r="444" spans="1:11" x14ac:dyDescent="0.2">
      <c r="A444" s="56"/>
      <c r="B444" s="56"/>
      <c r="C444" s="56"/>
      <c r="D444" s="56"/>
      <c r="E444" s="56"/>
      <c r="F444" s="56"/>
      <c r="G444" s="56"/>
      <c r="H444" s="56"/>
      <c r="I444" s="56"/>
      <c r="J444" s="56"/>
      <c r="K444" s="56"/>
    </row>
    <row r="445" spans="1:11" x14ac:dyDescent="0.2">
      <c r="A445" s="56"/>
      <c r="B445" s="56"/>
      <c r="C445" s="56"/>
      <c r="D445" s="56"/>
      <c r="E445" s="56"/>
      <c r="F445" s="56"/>
      <c r="G445" s="56"/>
      <c r="H445" s="56"/>
      <c r="I445" s="56"/>
      <c r="J445" s="56"/>
      <c r="K445" s="56"/>
    </row>
    <row r="446" spans="1:11" x14ac:dyDescent="0.2">
      <c r="A446" s="56"/>
      <c r="B446" s="56"/>
      <c r="C446" s="56"/>
      <c r="D446" s="56"/>
      <c r="E446" s="56"/>
      <c r="F446" s="56"/>
      <c r="G446" s="56"/>
      <c r="H446" s="56"/>
      <c r="I446" s="56"/>
      <c r="J446" s="56"/>
      <c r="K446" s="56"/>
    </row>
    <row r="447" spans="1:11" x14ac:dyDescent="0.2">
      <c r="A447" s="56"/>
      <c r="B447" s="56"/>
      <c r="C447" s="56"/>
      <c r="D447" s="56"/>
      <c r="E447" s="56"/>
      <c r="F447" s="56"/>
      <c r="G447" s="56"/>
      <c r="H447" s="56"/>
      <c r="I447" s="56"/>
      <c r="J447" s="56"/>
      <c r="K447" s="56"/>
    </row>
    <row r="448" spans="1:11" x14ac:dyDescent="0.2">
      <c r="A448" s="56"/>
      <c r="B448" s="56"/>
      <c r="C448" s="56"/>
      <c r="D448" s="56"/>
      <c r="E448" s="56"/>
      <c r="F448" s="56"/>
      <c r="G448" s="56"/>
      <c r="H448" s="56"/>
      <c r="I448" s="56"/>
      <c r="J448" s="56"/>
      <c r="K448" s="56"/>
    </row>
    <row r="449" spans="1:11" x14ac:dyDescent="0.2">
      <c r="A449" s="56"/>
      <c r="B449" s="56"/>
      <c r="C449" s="56"/>
      <c r="D449" s="56"/>
      <c r="E449" s="56"/>
      <c r="F449" s="56"/>
      <c r="G449" s="56"/>
      <c r="H449" s="56"/>
      <c r="I449" s="56"/>
      <c r="J449" s="56"/>
      <c r="K449" s="56"/>
    </row>
    <row r="450" spans="1:11" x14ac:dyDescent="0.2">
      <c r="A450" s="56"/>
      <c r="B450" s="56"/>
      <c r="C450" s="56"/>
      <c r="D450" s="56"/>
      <c r="E450" s="56"/>
      <c r="F450" s="56"/>
      <c r="G450" s="56"/>
      <c r="H450" s="56"/>
      <c r="I450" s="56"/>
      <c r="J450" s="56"/>
      <c r="K450" s="56"/>
    </row>
    <row r="451" spans="1:11" x14ac:dyDescent="0.2">
      <c r="A451" s="56"/>
      <c r="B451" s="56"/>
      <c r="C451" s="56"/>
      <c r="D451" s="56"/>
      <c r="E451" s="56"/>
      <c r="F451" s="56"/>
      <c r="G451" s="56"/>
      <c r="H451" s="56"/>
      <c r="I451" s="56"/>
      <c r="J451" s="56"/>
      <c r="K451" s="56"/>
    </row>
    <row r="452" spans="1:11" x14ac:dyDescent="0.2">
      <c r="A452" s="56"/>
      <c r="B452" s="56"/>
      <c r="C452" s="56"/>
      <c r="D452" s="56"/>
      <c r="E452" s="56"/>
      <c r="F452" s="56"/>
      <c r="G452" s="56"/>
      <c r="H452" s="56"/>
      <c r="I452" s="56"/>
      <c r="J452" s="56"/>
      <c r="K452" s="56"/>
    </row>
    <row r="453" spans="1:11" x14ac:dyDescent="0.2">
      <c r="A453" s="56"/>
      <c r="B453" s="56"/>
      <c r="C453" s="56"/>
      <c r="D453" s="56"/>
      <c r="E453" s="56"/>
      <c r="F453" s="56"/>
      <c r="G453" s="56"/>
      <c r="H453" s="56"/>
      <c r="I453" s="56"/>
      <c r="J453" s="56"/>
      <c r="K453" s="56"/>
    </row>
    <row r="454" spans="1:11" x14ac:dyDescent="0.2">
      <c r="A454" s="56"/>
      <c r="B454" s="56"/>
      <c r="C454" s="56"/>
      <c r="D454" s="56"/>
      <c r="E454" s="56"/>
      <c r="F454" s="56"/>
      <c r="G454" s="56"/>
      <c r="H454" s="56"/>
      <c r="I454" s="56"/>
      <c r="J454" s="56"/>
      <c r="K454" s="56"/>
    </row>
    <row r="455" spans="1:11" x14ac:dyDescent="0.2">
      <c r="A455" s="56"/>
      <c r="B455" s="56"/>
      <c r="C455" s="56"/>
      <c r="D455" s="56"/>
      <c r="E455" s="56"/>
      <c r="F455" s="56"/>
      <c r="G455" s="56"/>
      <c r="H455" s="56"/>
      <c r="I455" s="56"/>
      <c r="J455" s="56"/>
      <c r="K455" s="56"/>
    </row>
    <row r="456" spans="1:11" x14ac:dyDescent="0.2">
      <c r="A456" s="56"/>
      <c r="B456" s="56"/>
      <c r="C456" s="56"/>
      <c r="D456" s="56"/>
      <c r="E456" s="56"/>
      <c r="F456" s="56"/>
      <c r="G456" s="56"/>
      <c r="H456" s="56"/>
      <c r="I456" s="56"/>
      <c r="J456" s="56"/>
      <c r="K456" s="56"/>
    </row>
    <row r="457" spans="1:11" x14ac:dyDescent="0.2">
      <c r="A457" s="56"/>
      <c r="B457" s="56"/>
      <c r="C457" s="56"/>
      <c r="D457" s="56"/>
      <c r="E457" s="56"/>
      <c r="F457" s="56"/>
      <c r="G457" s="56"/>
      <c r="H457" s="56"/>
      <c r="I457" s="56"/>
      <c r="J457" s="56"/>
      <c r="K457" s="56"/>
    </row>
    <row r="458" spans="1:11" x14ac:dyDescent="0.2">
      <c r="A458" s="56"/>
      <c r="B458" s="56"/>
      <c r="C458" s="56"/>
      <c r="D458" s="56"/>
      <c r="E458" s="56"/>
      <c r="F458" s="56"/>
      <c r="G458" s="56"/>
      <c r="H458" s="56"/>
      <c r="I458" s="56"/>
      <c r="J458" s="56"/>
      <c r="K458" s="56"/>
    </row>
    <row r="459" spans="1:11" x14ac:dyDescent="0.2">
      <c r="A459" s="56"/>
      <c r="B459" s="56"/>
      <c r="C459" s="56"/>
      <c r="D459" s="56"/>
      <c r="E459" s="56"/>
      <c r="F459" s="56"/>
      <c r="G459" s="56"/>
      <c r="H459" s="56"/>
      <c r="I459" s="56"/>
      <c r="J459" s="56"/>
      <c r="K459" s="56"/>
    </row>
    <row r="460" spans="1:11" x14ac:dyDescent="0.2">
      <c r="A460" s="56"/>
      <c r="B460" s="56"/>
      <c r="C460" s="56"/>
      <c r="D460" s="56"/>
      <c r="E460" s="56"/>
      <c r="F460" s="56"/>
      <c r="G460" s="56"/>
      <c r="H460" s="56"/>
      <c r="I460" s="56"/>
      <c r="J460" s="56"/>
      <c r="K460" s="56"/>
    </row>
    <row r="461" spans="1:11" x14ac:dyDescent="0.2">
      <c r="A461" s="56"/>
      <c r="B461" s="56"/>
      <c r="C461" s="56"/>
      <c r="D461" s="56"/>
      <c r="E461" s="56"/>
      <c r="F461" s="56"/>
      <c r="G461" s="56"/>
      <c r="H461" s="56"/>
      <c r="I461" s="56"/>
      <c r="J461" s="56"/>
      <c r="K461" s="56"/>
    </row>
    <row r="462" spans="1:11" x14ac:dyDescent="0.2">
      <c r="A462" s="56"/>
      <c r="B462" s="56"/>
      <c r="C462" s="56"/>
      <c r="D462" s="56"/>
      <c r="E462" s="56"/>
      <c r="F462" s="56"/>
      <c r="G462" s="56"/>
      <c r="H462" s="56"/>
      <c r="I462" s="56"/>
      <c r="J462" s="56"/>
      <c r="K462" s="56"/>
    </row>
    <row r="463" spans="1:11" x14ac:dyDescent="0.2">
      <c r="A463" s="56"/>
      <c r="B463" s="56"/>
      <c r="C463" s="56"/>
      <c r="D463" s="56"/>
      <c r="E463" s="56"/>
      <c r="F463" s="56"/>
      <c r="G463" s="56"/>
      <c r="H463" s="56"/>
      <c r="I463" s="56"/>
      <c r="J463" s="56"/>
      <c r="K463" s="56"/>
    </row>
    <row r="464" spans="1:11" x14ac:dyDescent="0.2">
      <c r="A464" s="56"/>
      <c r="B464" s="56"/>
      <c r="C464" s="56"/>
      <c r="D464" s="56"/>
      <c r="E464" s="56"/>
      <c r="F464" s="56"/>
      <c r="G464" s="56"/>
      <c r="H464" s="56"/>
      <c r="I464" s="56"/>
      <c r="J464" s="56"/>
      <c r="K464" s="56"/>
    </row>
    <row r="465" spans="1:11" x14ac:dyDescent="0.2">
      <c r="A465" s="56"/>
      <c r="B465" s="56"/>
      <c r="C465" s="56"/>
      <c r="D465" s="56"/>
      <c r="E465" s="56"/>
      <c r="F465" s="56"/>
      <c r="G465" s="56"/>
      <c r="H465" s="56"/>
      <c r="I465" s="56"/>
      <c r="J465" s="56"/>
      <c r="K465" s="56"/>
    </row>
    <row r="466" spans="1:11" x14ac:dyDescent="0.2">
      <c r="A466" s="56"/>
      <c r="B466" s="56"/>
      <c r="C466" s="56"/>
      <c r="D466" s="56"/>
      <c r="E466" s="56"/>
      <c r="F466" s="56"/>
      <c r="G466" s="56"/>
      <c r="H466" s="56"/>
      <c r="I466" s="56"/>
      <c r="J466" s="56"/>
      <c r="K466" s="56"/>
    </row>
    <row r="467" spans="1:11" x14ac:dyDescent="0.2">
      <c r="A467" s="56"/>
      <c r="B467" s="56"/>
      <c r="C467" s="56"/>
      <c r="D467" s="56"/>
      <c r="E467" s="56"/>
      <c r="F467" s="56"/>
      <c r="G467" s="56"/>
      <c r="H467" s="56"/>
      <c r="I467" s="56"/>
      <c r="J467" s="56"/>
      <c r="K467" s="56"/>
    </row>
    <row r="468" spans="1:11" x14ac:dyDescent="0.2">
      <c r="A468" s="56"/>
      <c r="B468" s="56"/>
      <c r="C468" s="56"/>
      <c r="D468" s="56"/>
      <c r="E468" s="56"/>
      <c r="F468" s="56"/>
      <c r="G468" s="56"/>
      <c r="H468" s="56"/>
      <c r="I468" s="56"/>
      <c r="J468" s="56"/>
      <c r="K468" s="56"/>
    </row>
    <row r="469" spans="1:11" x14ac:dyDescent="0.2">
      <c r="A469" s="56"/>
      <c r="B469" s="56"/>
      <c r="C469" s="56"/>
      <c r="D469" s="56"/>
      <c r="E469" s="56"/>
      <c r="F469" s="56"/>
      <c r="G469" s="56"/>
      <c r="H469" s="56"/>
      <c r="I469" s="56"/>
      <c r="J469" s="56"/>
      <c r="K469" s="56"/>
    </row>
    <row r="470" spans="1:11" x14ac:dyDescent="0.2">
      <c r="A470" s="56"/>
      <c r="B470" s="56"/>
      <c r="C470" s="56"/>
      <c r="D470" s="56"/>
      <c r="E470" s="56"/>
      <c r="F470" s="56"/>
      <c r="G470" s="56"/>
      <c r="H470" s="56"/>
      <c r="I470" s="56"/>
      <c r="J470" s="56"/>
      <c r="K470" s="56"/>
    </row>
    <row r="471" spans="1:11" x14ac:dyDescent="0.2">
      <c r="A471" s="56"/>
      <c r="B471" s="56"/>
      <c r="C471" s="56"/>
      <c r="D471" s="56"/>
      <c r="E471" s="56"/>
      <c r="F471" s="56"/>
      <c r="G471" s="56"/>
      <c r="H471" s="56"/>
      <c r="I471" s="56"/>
      <c r="J471" s="56"/>
      <c r="K471" s="56"/>
    </row>
    <row r="472" spans="1:11" x14ac:dyDescent="0.2">
      <c r="A472" s="56"/>
      <c r="B472" s="56"/>
      <c r="C472" s="56"/>
      <c r="D472" s="56"/>
      <c r="E472" s="56"/>
      <c r="F472" s="56"/>
      <c r="G472" s="56"/>
      <c r="H472" s="56"/>
      <c r="I472" s="56"/>
      <c r="J472" s="56"/>
      <c r="K472" s="56"/>
    </row>
    <row r="473" spans="1:11" x14ac:dyDescent="0.2">
      <c r="A473" s="56"/>
      <c r="B473" s="56"/>
      <c r="C473" s="56"/>
      <c r="D473" s="56"/>
      <c r="E473" s="56"/>
      <c r="F473" s="56"/>
      <c r="G473" s="56"/>
      <c r="H473" s="56"/>
      <c r="I473" s="56"/>
      <c r="J473" s="56"/>
      <c r="K473" s="56"/>
    </row>
    <row r="474" spans="1:11" x14ac:dyDescent="0.2">
      <c r="A474" s="56"/>
      <c r="B474" s="56"/>
      <c r="C474" s="56"/>
      <c r="D474" s="56"/>
      <c r="E474" s="56"/>
      <c r="F474" s="56"/>
      <c r="G474" s="56"/>
      <c r="H474" s="56"/>
      <c r="I474" s="56"/>
      <c r="J474" s="56"/>
      <c r="K474" s="56"/>
    </row>
    <row r="475" spans="1:11" x14ac:dyDescent="0.2">
      <c r="A475" s="56"/>
      <c r="B475" s="56"/>
      <c r="C475" s="56"/>
      <c r="D475" s="56"/>
      <c r="E475" s="56"/>
      <c r="F475" s="56"/>
      <c r="G475" s="56"/>
      <c r="H475" s="56"/>
      <c r="I475" s="56"/>
      <c r="J475" s="56"/>
      <c r="K475" s="56"/>
    </row>
    <row r="476" spans="1:11" x14ac:dyDescent="0.2">
      <c r="A476" s="56"/>
      <c r="B476" s="56"/>
      <c r="C476" s="56"/>
      <c r="D476" s="56"/>
      <c r="E476" s="56"/>
      <c r="F476" s="56"/>
      <c r="G476" s="56"/>
      <c r="H476" s="56"/>
      <c r="I476" s="56"/>
      <c r="J476" s="56"/>
      <c r="K476" s="56"/>
    </row>
    <row r="477" spans="1:11" x14ac:dyDescent="0.2">
      <c r="A477" s="56"/>
      <c r="B477" s="56"/>
      <c r="C477" s="56"/>
      <c r="D477" s="56"/>
      <c r="E477" s="56"/>
      <c r="F477" s="56"/>
      <c r="G477" s="56"/>
      <c r="H477" s="56"/>
      <c r="I477" s="56"/>
      <c r="J477" s="56"/>
      <c r="K477" s="56"/>
    </row>
    <row r="478" spans="1:11" x14ac:dyDescent="0.2">
      <c r="A478" s="56"/>
      <c r="B478" s="56"/>
      <c r="C478" s="56"/>
      <c r="D478" s="56"/>
      <c r="E478" s="56"/>
      <c r="F478" s="56"/>
      <c r="G478" s="56"/>
      <c r="H478" s="56"/>
      <c r="I478" s="56"/>
      <c r="J478" s="56"/>
      <c r="K478" s="56"/>
    </row>
    <row r="479" spans="1:11" x14ac:dyDescent="0.2">
      <c r="A479" s="56"/>
      <c r="B479" s="56"/>
      <c r="C479" s="56"/>
      <c r="D479" s="56"/>
      <c r="E479" s="56"/>
      <c r="F479" s="56"/>
      <c r="G479" s="56"/>
      <c r="H479" s="56"/>
      <c r="I479" s="56"/>
      <c r="J479" s="56"/>
      <c r="K479" s="56"/>
    </row>
    <row r="480" spans="1:11" x14ac:dyDescent="0.2">
      <c r="A480" s="56"/>
      <c r="B480" s="56"/>
      <c r="C480" s="56"/>
      <c r="D480" s="56"/>
      <c r="E480" s="56"/>
      <c r="F480" s="56"/>
      <c r="G480" s="56"/>
      <c r="H480" s="56"/>
      <c r="I480" s="56"/>
      <c r="J480" s="56"/>
      <c r="K480" s="56"/>
    </row>
    <row r="481" spans="1:11" x14ac:dyDescent="0.2">
      <c r="A481" s="56"/>
      <c r="B481" s="56"/>
      <c r="C481" s="56"/>
      <c r="D481" s="56"/>
      <c r="E481" s="56"/>
      <c r="F481" s="56"/>
      <c r="G481" s="56"/>
      <c r="H481" s="56"/>
      <c r="I481" s="56"/>
      <c r="J481" s="56"/>
      <c r="K481" s="56"/>
    </row>
    <row r="482" spans="1:11" x14ac:dyDescent="0.2">
      <c r="A482" s="56"/>
      <c r="B482" s="56"/>
      <c r="C482" s="56"/>
      <c r="D482" s="56"/>
      <c r="E482" s="56"/>
      <c r="F482" s="56"/>
      <c r="G482" s="56"/>
      <c r="H482" s="56"/>
      <c r="I482" s="56"/>
      <c r="J482" s="56"/>
      <c r="K482" s="56"/>
    </row>
    <row r="483" spans="1:11" x14ac:dyDescent="0.2">
      <c r="A483" s="56"/>
      <c r="B483" s="56"/>
      <c r="C483" s="56"/>
      <c r="D483" s="56"/>
      <c r="E483" s="56"/>
      <c r="F483" s="56"/>
      <c r="G483" s="56"/>
      <c r="H483" s="56"/>
      <c r="I483" s="56"/>
      <c r="J483" s="56"/>
      <c r="K483" s="56"/>
    </row>
    <row r="484" spans="1:11" x14ac:dyDescent="0.2">
      <c r="A484" s="56"/>
      <c r="B484" s="56"/>
      <c r="C484" s="56"/>
      <c r="D484" s="56"/>
      <c r="E484" s="56"/>
      <c r="F484" s="56"/>
      <c r="G484" s="56"/>
      <c r="H484" s="56"/>
      <c r="I484" s="56"/>
      <c r="J484" s="56"/>
      <c r="K484" s="56"/>
    </row>
    <row r="485" spans="1:11" x14ac:dyDescent="0.2">
      <c r="A485" s="56"/>
      <c r="B485" s="56"/>
      <c r="C485" s="56"/>
      <c r="D485" s="56"/>
      <c r="E485" s="56"/>
      <c r="F485" s="56"/>
      <c r="G485" s="56"/>
      <c r="H485" s="56"/>
      <c r="I485" s="56"/>
      <c r="J485" s="56"/>
      <c r="K485" s="56"/>
    </row>
    <row r="486" spans="1:11" x14ac:dyDescent="0.2">
      <c r="A486" s="56"/>
      <c r="B486" s="56"/>
      <c r="C486" s="56"/>
      <c r="D486" s="56"/>
      <c r="E486" s="56"/>
      <c r="F486" s="56"/>
      <c r="G486" s="56"/>
      <c r="H486" s="56"/>
      <c r="I486" s="56"/>
      <c r="J486" s="56"/>
      <c r="K486" s="56"/>
    </row>
    <row r="487" spans="1:11" x14ac:dyDescent="0.2">
      <c r="A487" s="56"/>
      <c r="B487" s="56"/>
      <c r="C487" s="56"/>
      <c r="D487" s="56"/>
      <c r="E487" s="56"/>
      <c r="F487" s="56"/>
      <c r="G487" s="56"/>
      <c r="H487" s="56"/>
      <c r="I487" s="56"/>
      <c r="J487" s="56"/>
      <c r="K487" s="56"/>
    </row>
    <row r="488" spans="1:11" x14ac:dyDescent="0.2">
      <c r="A488" s="56"/>
      <c r="B488" s="56"/>
      <c r="C488" s="56"/>
      <c r="D488" s="56"/>
      <c r="E488" s="56"/>
      <c r="F488" s="56"/>
      <c r="G488" s="56"/>
      <c r="H488" s="56"/>
      <c r="I488" s="56"/>
      <c r="J488" s="56"/>
      <c r="K488" s="56"/>
    </row>
    <row r="489" spans="1:11" x14ac:dyDescent="0.2">
      <c r="A489" s="56"/>
      <c r="B489" s="56"/>
      <c r="C489" s="56"/>
      <c r="D489" s="56"/>
      <c r="E489" s="56"/>
      <c r="F489" s="56"/>
      <c r="G489" s="56"/>
      <c r="H489" s="56"/>
      <c r="I489" s="56"/>
      <c r="J489" s="56"/>
      <c r="K489" s="56"/>
    </row>
    <row r="490" spans="1:11" x14ac:dyDescent="0.2">
      <c r="A490" s="56"/>
      <c r="B490" s="56"/>
      <c r="C490" s="56"/>
      <c r="D490" s="56"/>
      <c r="E490" s="56"/>
      <c r="F490" s="56"/>
      <c r="G490" s="56"/>
      <c r="H490" s="56"/>
      <c r="I490" s="56"/>
      <c r="J490" s="56"/>
      <c r="K490" s="56"/>
    </row>
    <row r="491" spans="1:11" x14ac:dyDescent="0.2">
      <c r="A491" s="56"/>
      <c r="B491" s="56"/>
      <c r="C491" s="56"/>
      <c r="D491" s="56"/>
      <c r="E491" s="56"/>
      <c r="F491" s="56"/>
      <c r="G491" s="56"/>
      <c r="H491" s="56"/>
      <c r="I491" s="56"/>
      <c r="J491" s="56"/>
      <c r="K491" s="56"/>
    </row>
    <row r="492" spans="1:11" x14ac:dyDescent="0.2">
      <c r="A492" s="56"/>
      <c r="B492" s="56"/>
      <c r="C492" s="56"/>
      <c r="D492" s="56"/>
      <c r="E492" s="56"/>
      <c r="F492" s="56"/>
      <c r="G492" s="56"/>
      <c r="H492" s="56"/>
      <c r="I492" s="56"/>
      <c r="J492" s="56"/>
      <c r="K492" s="56"/>
    </row>
    <row r="493" spans="1:11" ht="16" thickBot="1" x14ac:dyDescent="0.25">
      <c r="A493" s="108"/>
      <c r="B493" s="108"/>
      <c r="C493" s="108"/>
      <c r="D493" s="108"/>
      <c r="E493" s="108"/>
      <c r="F493" s="108"/>
      <c r="G493" s="108"/>
      <c r="H493" s="108"/>
      <c r="I493" s="108"/>
      <c r="J493" s="108"/>
      <c r="K493" s="108"/>
    </row>
    <row r="494" spans="1:11" ht="16" thickBot="1" x14ac:dyDescent="0.25">
      <c r="A494" s="188"/>
      <c r="B494" s="188"/>
      <c r="C494" s="188"/>
      <c r="D494" s="188"/>
      <c r="E494" s="188"/>
      <c r="F494" s="188"/>
      <c r="G494" s="188"/>
      <c r="H494" s="188"/>
      <c r="I494" s="188"/>
      <c r="J494" s="188"/>
      <c r="K494" s="188"/>
    </row>
    <row r="495" spans="1:11" ht="16" thickBot="1" x14ac:dyDescent="0.25">
      <c r="A495" s="188"/>
      <c r="B495" s="188"/>
      <c r="C495" s="188"/>
      <c r="D495" s="188"/>
      <c r="E495" s="188"/>
      <c r="F495" s="188"/>
      <c r="G495" s="188"/>
      <c r="H495" s="188"/>
      <c r="I495" s="188"/>
      <c r="J495" s="188"/>
      <c r="K495" s="188"/>
    </row>
    <row r="496" spans="1:11" ht="16" thickBot="1" x14ac:dyDescent="0.25">
      <c r="A496" s="188"/>
      <c r="B496" s="188"/>
      <c r="C496" s="188"/>
      <c r="D496" s="188"/>
      <c r="E496" s="188"/>
      <c r="F496" s="188"/>
      <c r="G496" s="188"/>
      <c r="H496" s="188"/>
      <c r="I496" s="188"/>
      <c r="J496" s="188"/>
      <c r="K496" s="188"/>
    </row>
    <row r="497" spans="1:11" ht="16" thickBot="1" x14ac:dyDescent="0.25">
      <c r="A497" s="188"/>
      <c r="B497" s="188"/>
      <c r="C497" s="188"/>
      <c r="D497" s="188"/>
      <c r="E497" s="188"/>
      <c r="F497" s="188"/>
      <c r="G497" s="188"/>
      <c r="H497" s="188"/>
      <c r="I497" s="188"/>
      <c r="J497" s="188"/>
      <c r="K497" s="188"/>
    </row>
    <row r="498" spans="1:11" ht="16" thickBot="1" x14ac:dyDescent="0.25">
      <c r="A498" s="188"/>
      <c r="B498" s="188"/>
      <c r="C498" s="188"/>
      <c r="D498" s="188"/>
      <c r="E498" s="188"/>
      <c r="F498" s="188"/>
      <c r="G498" s="188"/>
      <c r="H498" s="188"/>
      <c r="I498" s="188"/>
      <c r="J498" s="188"/>
      <c r="K498" s="188"/>
    </row>
    <row r="499" spans="1:11" ht="16" thickBot="1" x14ac:dyDescent="0.25">
      <c r="A499" s="188"/>
      <c r="B499" s="188"/>
      <c r="C499" s="188"/>
      <c r="D499" s="188"/>
      <c r="E499" s="188"/>
      <c r="F499" s="188"/>
      <c r="G499" s="188"/>
      <c r="H499" s="188"/>
      <c r="I499" s="188"/>
      <c r="J499" s="188"/>
      <c r="K499" s="188"/>
    </row>
    <row r="500" spans="1:11" ht="16" thickBot="1" x14ac:dyDescent="0.25">
      <c r="A500" s="188"/>
      <c r="B500" s="188"/>
      <c r="C500" s="188"/>
      <c r="D500" s="188"/>
      <c r="E500" s="188"/>
      <c r="F500" s="188"/>
      <c r="G500" s="188"/>
      <c r="H500" s="188"/>
      <c r="I500" s="188"/>
      <c r="J500" s="188"/>
      <c r="K500" s="188"/>
    </row>
  </sheetData>
  <mergeCells count="5">
    <mergeCell ref="A1:K1"/>
    <mergeCell ref="A2:K2"/>
    <mergeCell ref="A3:G3"/>
    <mergeCell ref="H3:I3"/>
    <mergeCell ref="J3:K3"/>
  </mergeCells>
  <dataValidations count="1">
    <dataValidation type="list" allowBlank="1" showInputMessage="1" showErrorMessage="1" sqref="D43:D66 D5:D10" xr:uid="{AAE0752A-88E4-414B-841B-C50FAC69DF04}">
      <formula1>"WENG_C, WENG_F, WENG_A, WENG_S, WENG_R"</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129BC-4EFE-4E6F-AF26-2BBE40DFECCD}">
  <sheetPr codeName="Sheet20">
    <tabColor theme="7"/>
  </sheetPr>
  <dimension ref="A1:M73"/>
  <sheetViews>
    <sheetView workbookViewId="0">
      <selection activeCell="O52" sqref="O52"/>
    </sheetView>
  </sheetViews>
  <sheetFormatPr baseColWidth="10" defaultColWidth="8.83203125" defaultRowHeight="15" x14ac:dyDescent="0.2"/>
  <cols>
    <col min="3" max="3" width="11.83203125" bestFit="1" customWidth="1"/>
    <col min="5" max="5" width="9.1640625" customWidth="1"/>
  </cols>
  <sheetData>
    <row r="1" spans="1:13" ht="16" thickBot="1" x14ac:dyDescent="0.25">
      <c r="A1" s="412" t="s">
        <v>13</v>
      </c>
      <c r="B1" s="413"/>
      <c r="C1" s="413"/>
      <c r="D1" s="413"/>
      <c r="E1" s="413"/>
      <c r="F1" s="413"/>
      <c r="G1" s="413"/>
      <c r="H1" s="413"/>
      <c r="I1" s="413"/>
      <c r="J1" s="413"/>
      <c r="K1" s="413"/>
      <c r="L1" s="413"/>
      <c r="M1" s="444"/>
    </row>
    <row r="2" spans="1:13" x14ac:dyDescent="0.2">
      <c r="A2" s="436"/>
      <c r="B2" s="452" t="s">
        <v>59</v>
      </c>
      <c r="C2" s="426" t="s">
        <v>46</v>
      </c>
      <c r="D2" s="424"/>
      <c r="E2" s="424"/>
      <c r="F2" s="424"/>
      <c r="G2" s="424"/>
      <c r="H2" s="424"/>
      <c r="I2" s="424"/>
      <c r="J2" s="424"/>
      <c r="K2" s="424"/>
      <c r="L2" s="424"/>
      <c r="M2" s="425"/>
    </row>
    <row r="3" spans="1:13" x14ac:dyDescent="0.2">
      <c r="A3" s="436"/>
      <c r="B3" s="453"/>
      <c r="C3" s="9" t="s">
        <v>47</v>
      </c>
      <c r="M3" s="2"/>
    </row>
    <row r="4" spans="1:13" x14ac:dyDescent="0.2">
      <c r="A4" s="436"/>
      <c r="B4" s="453"/>
      <c r="C4" s="10" t="s">
        <v>48</v>
      </c>
      <c r="D4" s="30"/>
      <c r="E4" s="30"/>
      <c r="F4" s="30"/>
      <c r="G4" s="30"/>
      <c r="H4" s="30"/>
      <c r="I4" s="30"/>
      <c r="J4" s="30"/>
      <c r="K4" s="30"/>
      <c r="L4" s="30"/>
      <c r="M4" s="31"/>
    </row>
    <row r="5" spans="1:13" x14ac:dyDescent="0.2">
      <c r="A5" s="436"/>
      <c r="B5" s="453"/>
      <c r="C5" s="10" t="s">
        <v>49</v>
      </c>
      <c r="M5" s="2"/>
    </row>
    <row r="6" spans="1:13" x14ac:dyDescent="0.2">
      <c r="A6" s="436"/>
      <c r="B6" s="453"/>
      <c r="C6" s="98" t="s">
        <v>50</v>
      </c>
      <c r="D6" s="99"/>
      <c r="E6" s="99"/>
      <c r="F6" s="99"/>
      <c r="G6" s="99"/>
      <c r="H6" s="99"/>
      <c r="I6" s="99"/>
      <c r="J6" s="99"/>
      <c r="K6" s="99"/>
      <c r="L6" s="99"/>
      <c r="M6" s="100"/>
    </row>
    <row r="7" spans="1:13" x14ac:dyDescent="0.2">
      <c r="A7" s="436"/>
      <c r="B7" s="453"/>
      <c r="C7" s="10" t="s">
        <v>51</v>
      </c>
      <c r="M7" s="2"/>
    </row>
    <row r="8" spans="1:13" x14ac:dyDescent="0.2">
      <c r="A8" s="436"/>
      <c r="B8" s="453"/>
      <c r="C8" s="10" t="s">
        <v>49</v>
      </c>
      <c r="D8" s="30"/>
      <c r="E8" s="30"/>
      <c r="F8" s="30"/>
      <c r="G8" s="30"/>
      <c r="H8" s="30"/>
      <c r="I8" s="30"/>
      <c r="J8" s="30"/>
      <c r="K8" s="30"/>
      <c r="L8" s="30"/>
      <c r="M8" s="31"/>
    </row>
    <row r="9" spans="1:13" x14ac:dyDescent="0.2">
      <c r="A9" s="436"/>
      <c r="B9" s="453"/>
      <c r="C9" s="10" t="s">
        <v>50</v>
      </c>
      <c r="M9" s="2"/>
    </row>
    <row r="10" spans="1:13" x14ac:dyDescent="0.2">
      <c r="A10" s="436"/>
      <c r="B10" s="453"/>
      <c r="C10" s="455" t="s">
        <v>52</v>
      </c>
      <c r="D10" s="456"/>
      <c r="E10" s="456"/>
      <c r="F10" s="456"/>
      <c r="G10" s="456"/>
      <c r="H10" s="456"/>
      <c r="I10" s="456"/>
      <c r="J10" s="456"/>
      <c r="K10" s="456"/>
      <c r="L10" s="456"/>
      <c r="M10" s="457"/>
    </row>
    <row r="11" spans="1:13" x14ac:dyDescent="0.2">
      <c r="A11" s="436"/>
      <c r="B11" s="453"/>
      <c r="C11" s="9" t="s">
        <v>47</v>
      </c>
      <c r="M11" s="2"/>
    </row>
    <row r="12" spans="1:13" x14ac:dyDescent="0.2">
      <c r="A12" s="436"/>
      <c r="B12" s="453"/>
      <c r="C12" s="10" t="s">
        <v>48</v>
      </c>
      <c r="D12" s="30"/>
      <c r="E12" s="30"/>
      <c r="F12" s="30"/>
      <c r="G12" s="30"/>
      <c r="H12" s="30"/>
      <c r="I12" s="30"/>
      <c r="J12" s="30"/>
      <c r="K12" s="30"/>
      <c r="L12" s="30"/>
      <c r="M12" s="31"/>
    </row>
    <row r="13" spans="1:13" x14ac:dyDescent="0.2">
      <c r="A13" s="436"/>
      <c r="B13" s="453"/>
      <c r="C13" s="10" t="s">
        <v>49</v>
      </c>
      <c r="M13" s="2"/>
    </row>
    <row r="14" spans="1:13" x14ac:dyDescent="0.2">
      <c r="A14" s="436"/>
      <c r="B14" s="453"/>
      <c r="C14" s="98" t="s">
        <v>50</v>
      </c>
      <c r="D14" s="99"/>
      <c r="E14" s="99"/>
      <c r="F14" s="99"/>
      <c r="G14" s="99"/>
      <c r="H14" s="99"/>
      <c r="I14" s="99"/>
      <c r="J14" s="99"/>
      <c r="K14" s="99"/>
      <c r="L14" s="99"/>
      <c r="M14" s="100"/>
    </row>
    <row r="15" spans="1:13" x14ac:dyDescent="0.2">
      <c r="A15" s="436"/>
      <c r="B15" s="453"/>
      <c r="C15" s="10" t="s">
        <v>51</v>
      </c>
      <c r="M15" s="2"/>
    </row>
    <row r="16" spans="1:13" x14ac:dyDescent="0.2">
      <c r="A16" s="436"/>
      <c r="B16" s="453"/>
      <c r="C16" s="10" t="s">
        <v>49</v>
      </c>
      <c r="D16" s="30"/>
      <c r="E16" s="30"/>
      <c r="F16" s="30"/>
      <c r="G16" s="30"/>
      <c r="H16" s="30"/>
      <c r="I16" s="30"/>
      <c r="J16" s="30"/>
      <c r="K16" s="30"/>
      <c r="L16" s="30"/>
      <c r="M16" s="31"/>
    </row>
    <row r="17" spans="1:13" x14ac:dyDescent="0.2">
      <c r="A17" s="436"/>
      <c r="B17" s="453"/>
      <c r="C17" s="10" t="s">
        <v>50</v>
      </c>
      <c r="M17" s="2"/>
    </row>
    <row r="18" spans="1:13" x14ac:dyDescent="0.2">
      <c r="A18" s="436"/>
      <c r="B18" s="453"/>
      <c r="C18" s="455" t="s">
        <v>53</v>
      </c>
      <c r="D18" s="456"/>
      <c r="E18" s="456"/>
      <c r="F18" s="456"/>
      <c r="G18" s="456"/>
      <c r="H18" s="456"/>
      <c r="I18" s="456"/>
      <c r="J18" s="456"/>
      <c r="K18" s="456"/>
      <c r="L18" s="456"/>
      <c r="M18" s="457"/>
    </row>
    <row r="19" spans="1:13" x14ac:dyDescent="0.2">
      <c r="A19" s="436"/>
      <c r="B19" s="453"/>
      <c r="C19" s="9" t="s">
        <v>47</v>
      </c>
      <c r="M19" s="2"/>
    </row>
    <row r="20" spans="1:13" x14ac:dyDescent="0.2">
      <c r="A20" s="436"/>
      <c r="B20" s="453"/>
      <c r="C20" s="10" t="s">
        <v>48</v>
      </c>
      <c r="D20" s="30"/>
      <c r="E20" s="30"/>
      <c r="F20" s="30"/>
      <c r="G20" s="30"/>
      <c r="H20" s="30"/>
      <c r="I20" s="30"/>
      <c r="J20" s="30"/>
      <c r="K20" s="30"/>
      <c r="L20" s="30"/>
      <c r="M20" s="31"/>
    </row>
    <row r="21" spans="1:13" x14ac:dyDescent="0.2">
      <c r="A21" s="436"/>
      <c r="B21" s="453"/>
      <c r="C21" s="10" t="s">
        <v>49</v>
      </c>
      <c r="M21" s="2"/>
    </row>
    <row r="22" spans="1:13" x14ac:dyDescent="0.2">
      <c r="A22" s="436"/>
      <c r="B22" s="453"/>
      <c r="C22" s="98" t="s">
        <v>50</v>
      </c>
      <c r="D22" s="99"/>
      <c r="E22" s="99"/>
      <c r="F22" s="99"/>
      <c r="G22" s="99"/>
      <c r="H22" s="99"/>
      <c r="I22" s="99"/>
      <c r="J22" s="99"/>
      <c r="K22" s="99"/>
      <c r="L22" s="99"/>
      <c r="M22" s="100"/>
    </row>
    <row r="23" spans="1:13" x14ac:dyDescent="0.2">
      <c r="A23" s="436"/>
      <c r="B23" s="453"/>
      <c r="C23" s="10" t="s">
        <v>51</v>
      </c>
      <c r="M23" s="2"/>
    </row>
    <row r="24" spans="1:13" x14ac:dyDescent="0.2">
      <c r="A24" s="436"/>
      <c r="B24" s="453"/>
      <c r="C24" s="10" t="s">
        <v>49</v>
      </c>
      <c r="D24" s="30"/>
      <c r="E24" s="30"/>
      <c r="F24" s="30"/>
      <c r="G24" s="30"/>
      <c r="H24" s="30"/>
      <c r="I24" s="30"/>
      <c r="J24" s="30"/>
      <c r="K24" s="30"/>
      <c r="L24" s="30"/>
      <c r="M24" s="31"/>
    </row>
    <row r="25" spans="1:13" x14ac:dyDescent="0.2">
      <c r="A25" s="436"/>
      <c r="B25" s="453"/>
      <c r="C25" s="10" t="s">
        <v>50</v>
      </c>
      <c r="M25" s="2"/>
    </row>
    <row r="26" spans="1:13" x14ac:dyDescent="0.2">
      <c r="A26" s="436"/>
      <c r="B26" s="453"/>
      <c r="C26" s="455" t="s">
        <v>54</v>
      </c>
      <c r="D26" s="456"/>
      <c r="E26" s="456"/>
      <c r="F26" s="456"/>
      <c r="G26" s="456"/>
      <c r="H26" s="456"/>
      <c r="I26" s="456"/>
      <c r="J26" s="456"/>
      <c r="K26" s="456"/>
      <c r="L26" s="456"/>
      <c r="M26" s="457"/>
    </row>
    <row r="27" spans="1:13" x14ac:dyDescent="0.2">
      <c r="A27" s="436"/>
      <c r="B27" s="453"/>
      <c r="C27" s="9" t="s">
        <v>47</v>
      </c>
      <c r="M27" s="2"/>
    </row>
    <row r="28" spans="1:13" x14ac:dyDescent="0.2">
      <c r="A28" s="436"/>
      <c r="B28" s="453"/>
      <c r="C28" s="10" t="s">
        <v>48</v>
      </c>
      <c r="D28" s="30"/>
      <c r="E28" s="30"/>
      <c r="F28" s="30"/>
      <c r="G28" s="30"/>
      <c r="H28" s="30"/>
      <c r="I28" s="30"/>
      <c r="J28" s="30"/>
      <c r="K28" s="30"/>
      <c r="L28" s="30"/>
      <c r="M28" s="31"/>
    </row>
    <row r="29" spans="1:13" x14ac:dyDescent="0.2">
      <c r="A29" s="436"/>
      <c r="B29" s="453"/>
      <c r="C29" s="10" t="s">
        <v>49</v>
      </c>
      <c r="M29" s="2"/>
    </row>
    <row r="30" spans="1:13" x14ac:dyDescent="0.2">
      <c r="A30" s="436"/>
      <c r="B30" s="453"/>
      <c r="C30" s="98" t="s">
        <v>50</v>
      </c>
      <c r="D30" s="99"/>
      <c r="E30" s="99"/>
      <c r="F30" s="99"/>
      <c r="G30" s="99"/>
      <c r="H30" s="99"/>
      <c r="I30" s="99"/>
      <c r="J30" s="99"/>
      <c r="K30" s="99"/>
      <c r="L30" s="99"/>
      <c r="M30" s="100"/>
    </row>
    <row r="31" spans="1:13" x14ac:dyDescent="0.2">
      <c r="A31" s="436"/>
      <c r="B31" s="453"/>
      <c r="C31" s="10" t="s">
        <v>51</v>
      </c>
      <c r="M31" s="2"/>
    </row>
    <row r="32" spans="1:13" x14ac:dyDescent="0.2">
      <c r="A32" s="436"/>
      <c r="B32" s="453"/>
      <c r="C32" s="10" t="s">
        <v>49</v>
      </c>
      <c r="D32" s="30"/>
      <c r="E32" s="30"/>
      <c r="F32" s="30"/>
      <c r="G32" s="30"/>
      <c r="H32" s="30"/>
      <c r="I32" s="30"/>
      <c r="J32" s="30"/>
      <c r="K32" s="30"/>
      <c r="L32" s="30"/>
      <c r="M32" s="31"/>
    </row>
    <row r="33" spans="1:13" x14ac:dyDescent="0.2">
      <c r="A33" s="436"/>
      <c r="B33" s="453"/>
      <c r="C33" s="10" t="s">
        <v>50</v>
      </c>
      <c r="M33" s="2"/>
    </row>
    <row r="34" spans="1:13" x14ac:dyDescent="0.2">
      <c r="A34" s="436"/>
      <c r="B34" s="453"/>
      <c r="C34" s="455" t="s">
        <v>55</v>
      </c>
      <c r="D34" s="456"/>
      <c r="E34" s="456"/>
      <c r="F34" s="456"/>
      <c r="G34" s="456"/>
      <c r="H34" s="456"/>
      <c r="I34" s="456"/>
      <c r="J34" s="456"/>
      <c r="K34" s="456"/>
      <c r="L34" s="456"/>
      <c r="M34" s="457"/>
    </row>
    <row r="35" spans="1:13" x14ac:dyDescent="0.2">
      <c r="A35" s="436"/>
      <c r="B35" s="453"/>
      <c r="C35" s="9" t="s">
        <v>47</v>
      </c>
      <c r="M35" s="2"/>
    </row>
    <row r="36" spans="1:13" x14ac:dyDescent="0.2">
      <c r="A36" s="436"/>
      <c r="B36" s="453"/>
      <c r="C36" s="10" t="s">
        <v>48</v>
      </c>
      <c r="D36" s="30"/>
      <c r="E36" s="30"/>
      <c r="F36" s="30"/>
      <c r="G36" s="30"/>
      <c r="H36" s="30"/>
      <c r="I36" s="30"/>
      <c r="J36" s="30"/>
      <c r="K36" s="30"/>
      <c r="L36" s="30"/>
      <c r="M36" s="31"/>
    </row>
    <row r="37" spans="1:13" x14ac:dyDescent="0.2">
      <c r="A37" s="436"/>
      <c r="B37" s="453"/>
      <c r="C37" s="10" t="s">
        <v>49</v>
      </c>
      <c r="M37" s="2"/>
    </row>
    <row r="38" spans="1:13" x14ac:dyDescent="0.2">
      <c r="A38" s="436"/>
      <c r="B38" s="453"/>
      <c r="C38" s="98" t="s">
        <v>50</v>
      </c>
      <c r="D38" s="99"/>
      <c r="E38" s="99"/>
      <c r="F38" s="99"/>
      <c r="G38" s="99"/>
      <c r="H38" s="99"/>
      <c r="I38" s="99"/>
      <c r="J38" s="99"/>
      <c r="K38" s="99"/>
      <c r="L38" s="99"/>
      <c r="M38" s="100"/>
    </row>
    <row r="39" spans="1:13" x14ac:dyDescent="0.2">
      <c r="A39" s="436"/>
      <c r="B39" s="453"/>
      <c r="C39" s="10" t="s">
        <v>51</v>
      </c>
      <c r="M39" s="2"/>
    </row>
    <row r="40" spans="1:13" x14ac:dyDescent="0.2">
      <c r="A40" s="436"/>
      <c r="B40" s="453"/>
      <c r="C40" s="10" t="s">
        <v>49</v>
      </c>
      <c r="D40" s="30"/>
      <c r="E40" s="30"/>
      <c r="F40" s="30"/>
      <c r="G40" s="30"/>
      <c r="H40" s="30"/>
      <c r="I40" s="30"/>
      <c r="J40" s="30"/>
      <c r="K40" s="30"/>
      <c r="L40" s="30"/>
      <c r="M40" s="31"/>
    </row>
    <row r="41" spans="1:13" ht="16" thickBot="1" x14ac:dyDescent="0.25">
      <c r="A41" s="436"/>
      <c r="B41" s="454"/>
      <c r="C41" s="11" t="s">
        <v>50</v>
      </c>
      <c r="D41" s="4"/>
      <c r="E41" s="4"/>
      <c r="F41" s="4"/>
      <c r="G41" s="4"/>
      <c r="H41" s="4"/>
      <c r="I41" s="4"/>
      <c r="J41" s="4"/>
      <c r="K41" s="4"/>
      <c r="L41" s="4"/>
      <c r="M41" s="5"/>
    </row>
    <row r="42" spans="1:13" x14ac:dyDescent="0.2">
      <c r="A42" s="436"/>
      <c r="B42" s="452" t="s">
        <v>60</v>
      </c>
      <c r="C42" s="426" t="s">
        <v>56</v>
      </c>
      <c r="D42" s="424"/>
      <c r="E42" s="424"/>
      <c r="F42" s="424"/>
      <c r="G42" s="424"/>
      <c r="H42" s="424"/>
      <c r="I42" s="424"/>
      <c r="J42" s="424"/>
      <c r="K42" s="424"/>
      <c r="L42" s="424"/>
      <c r="M42" s="425"/>
    </row>
    <row r="43" spans="1:13" x14ac:dyDescent="0.2">
      <c r="A43" s="436"/>
      <c r="B43" s="453"/>
      <c r="C43" s="9" t="s">
        <v>47</v>
      </c>
      <c r="M43" s="2"/>
    </row>
    <row r="44" spans="1:13" x14ac:dyDescent="0.2">
      <c r="A44" s="436"/>
      <c r="B44" s="453"/>
      <c r="C44" s="10" t="s">
        <v>48</v>
      </c>
      <c r="D44" s="30"/>
      <c r="E44" s="30"/>
      <c r="F44" s="30"/>
      <c r="G44" s="30"/>
      <c r="H44" s="30"/>
      <c r="I44" s="30"/>
      <c r="J44" s="30"/>
      <c r="K44" s="30"/>
      <c r="L44" s="30"/>
      <c r="M44" s="31"/>
    </row>
    <row r="45" spans="1:13" x14ac:dyDescent="0.2">
      <c r="A45" s="436"/>
      <c r="B45" s="453"/>
      <c r="C45" s="10" t="s">
        <v>49</v>
      </c>
      <c r="M45" s="2"/>
    </row>
    <row r="46" spans="1:13" x14ac:dyDescent="0.2">
      <c r="A46" s="436"/>
      <c r="B46" s="453"/>
      <c r="C46" s="98" t="s">
        <v>50</v>
      </c>
      <c r="D46" s="99"/>
      <c r="E46" s="99"/>
      <c r="F46" s="99"/>
      <c r="G46" s="99"/>
      <c r="H46" s="99"/>
      <c r="I46" s="99"/>
      <c r="J46" s="99"/>
      <c r="K46" s="99"/>
      <c r="L46" s="99"/>
      <c r="M46" s="100"/>
    </row>
    <row r="47" spans="1:13" x14ac:dyDescent="0.2">
      <c r="A47" s="436"/>
      <c r="B47" s="453"/>
      <c r="C47" s="10" t="s">
        <v>51</v>
      </c>
      <c r="M47" s="2"/>
    </row>
    <row r="48" spans="1:13" x14ac:dyDescent="0.2">
      <c r="A48" s="436"/>
      <c r="B48" s="453"/>
      <c r="C48" s="10" t="s">
        <v>49</v>
      </c>
      <c r="D48" s="30"/>
      <c r="E48" s="30"/>
      <c r="F48" s="30"/>
      <c r="G48" s="30"/>
      <c r="H48" s="30"/>
      <c r="I48" s="30"/>
      <c r="J48" s="30"/>
      <c r="K48" s="30"/>
      <c r="L48" s="30"/>
      <c r="M48" s="31"/>
    </row>
    <row r="49" spans="1:13" x14ac:dyDescent="0.2">
      <c r="A49" s="436"/>
      <c r="B49" s="453"/>
      <c r="C49" s="10" t="s">
        <v>50</v>
      </c>
      <c r="M49" s="2"/>
    </row>
    <row r="50" spans="1:13" x14ac:dyDescent="0.2">
      <c r="A50" s="436"/>
      <c r="B50" s="453"/>
      <c r="C50" s="455" t="s">
        <v>57</v>
      </c>
      <c r="D50" s="456"/>
      <c r="E50" s="456"/>
      <c r="F50" s="456"/>
      <c r="G50" s="456"/>
      <c r="H50" s="456"/>
      <c r="I50" s="456"/>
      <c r="J50" s="456"/>
      <c r="K50" s="456"/>
      <c r="L50" s="456"/>
      <c r="M50" s="457"/>
    </row>
    <row r="51" spans="1:13" x14ac:dyDescent="0.2">
      <c r="A51" s="436"/>
      <c r="B51" s="453"/>
      <c r="C51" s="9" t="s">
        <v>47</v>
      </c>
      <c r="M51" s="2"/>
    </row>
    <row r="52" spans="1:13" x14ac:dyDescent="0.2">
      <c r="A52" s="436"/>
      <c r="B52" s="453"/>
      <c r="C52" s="10" t="s">
        <v>48</v>
      </c>
      <c r="D52" s="30"/>
      <c r="E52" s="30"/>
      <c r="F52" s="30"/>
      <c r="G52" s="30"/>
      <c r="H52" s="30"/>
      <c r="I52" s="30"/>
      <c r="J52" s="30"/>
      <c r="K52" s="30"/>
      <c r="L52" s="30"/>
      <c r="M52" s="31"/>
    </row>
    <row r="53" spans="1:13" x14ac:dyDescent="0.2">
      <c r="A53" s="436"/>
      <c r="B53" s="453"/>
      <c r="C53" s="10" t="s">
        <v>49</v>
      </c>
      <c r="M53" s="2"/>
    </row>
    <row r="54" spans="1:13" x14ac:dyDescent="0.2">
      <c r="A54" s="436"/>
      <c r="B54" s="453"/>
      <c r="C54" s="98" t="s">
        <v>50</v>
      </c>
      <c r="D54" s="99"/>
      <c r="E54" s="99"/>
      <c r="F54" s="99"/>
      <c r="G54" s="99"/>
      <c r="H54" s="99"/>
      <c r="I54" s="99"/>
      <c r="J54" s="99"/>
      <c r="K54" s="99"/>
      <c r="L54" s="99"/>
      <c r="M54" s="100"/>
    </row>
    <row r="55" spans="1:13" x14ac:dyDescent="0.2">
      <c r="A55" s="436"/>
      <c r="B55" s="453"/>
      <c r="C55" s="10" t="s">
        <v>51</v>
      </c>
      <c r="M55" s="2"/>
    </row>
    <row r="56" spans="1:13" x14ac:dyDescent="0.2">
      <c r="A56" s="436"/>
      <c r="B56" s="453"/>
      <c r="C56" s="10" t="s">
        <v>49</v>
      </c>
      <c r="D56" s="30"/>
      <c r="E56" s="30"/>
      <c r="F56" s="30"/>
      <c r="G56" s="30"/>
      <c r="H56" s="30"/>
      <c r="I56" s="30"/>
      <c r="J56" s="30"/>
      <c r="K56" s="30"/>
      <c r="L56" s="30"/>
      <c r="M56" s="31"/>
    </row>
    <row r="57" spans="1:13" x14ac:dyDescent="0.2">
      <c r="A57" s="436"/>
      <c r="B57" s="453"/>
      <c r="C57" s="10" t="s">
        <v>50</v>
      </c>
      <c r="M57" s="2"/>
    </row>
    <row r="58" spans="1:13" x14ac:dyDescent="0.2">
      <c r="A58" s="436"/>
      <c r="B58" s="453"/>
      <c r="C58" s="455" t="s">
        <v>54</v>
      </c>
      <c r="D58" s="456"/>
      <c r="E58" s="456"/>
      <c r="F58" s="456"/>
      <c r="G58" s="456"/>
      <c r="H58" s="456"/>
      <c r="I58" s="456"/>
      <c r="J58" s="456"/>
      <c r="K58" s="456"/>
      <c r="L58" s="456"/>
      <c r="M58" s="457"/>
    </row>
    <row r="59" spans="1:13" x14ac:dyDescent="0.2">
      <c r="A59" s="436"/>
      <c r="B59" s="453"/>
      <c r="C59" s="9" t="s">
        <v>47</v>
      </c>
      <c r="M59" s="2"/>
    </row>
    <row r="60" spans="1:13" x14ac:dyDescent="0.2">
      <c r="A60" s="436"/>
      <c r="B60" s="453"/>
      <c r="C60" s="10" t="s">
        <v>48</v>
      </c>
      <c r="D60" s="30"/>
      <c r="E60" s="30"/>
      <c r="F60" s="30"/>
      <c r="G60" s="30"/>
      <c r="H60" s="30"/>
      <c r="I60" s="30"/>
      <c r="J60" s="30"/>
      <c r="K60" s="30"/>
      <c r="L60" s="30"/>
      <c r="M60" s="31"/>
    </row>
    <row r="61" spans="1:13" x14ac:dyDescent="0.2">
      <c r="A61" s="436"/>
      <c r="B61" s="453"/>
      <c r="C61" s="10" t="s">
        <v>49</v>
      </c>
      <c r="M61" s="2"/>
    </row>
    <row r="62" spans="1:13" x14ac:dyDescent="0.2">
      <c r="A62" s="436"/>
      <c r="B62" s="453"/>
      <c r="C62" s="98" t="s">
        <v>50</v>
      </c>
      <c r="D62" s="99"/>
      <c r="E62" s="99"/>
      <c r="F62" s="99"/>
      <c r="G62" s="99"/>
      <c r="H62" s="99"/>
      <c r="I62" s="99"/>
      <c r="J62" s="99"/>
      <c r="K62" s="99"/>
      <c r="L62" s="99"/>
      <c r="M62" s="100"/>
    </row>
    <row r="63" spans="1:13" x14ac:dyDescent="0.2">
      <c r="A63" s="436"/>
      <c r="B63" s="453"/>
      <c r="C63" s="10" t="s">
        <v>51</v>
      </c>
      <c r="M63" s="2"/>
    </row>
    <row r="64" spans="1:13" x14ac:dyDescent="0.2">
      <c r="A64" s="436"/>
      <c r="B64" s="453"/>
      <c r="C64" s="10" t="s">
        <v>49</v>
      </c>
      <c r="D64" s="30"/>
      <c r="E64" s="30"/>
      <c r="F64" s="30"/>
      <c r="G64" s="30"/>
      <c r="H64" s="30"/>
      <c r="I64" s="30"/>
      <c r="J64" s="30"/>
      <c r="K64" s="30"/>
      <c r="L64" s="30"/>
      <c r="M64" s="31"/>
    </row>
    <row r="65" spans="1:13" x14ac:dyDescent="0.2">
      <c r="A65" s="436"/>
      <c r="B65" s="453"/>
      <c r="C65" s="10" t="s">
        <v>50</v>
      </c>
      <c r="M65" s="2"/>
    </row>
    <row r="66" spans="1:13" x14ac:dyDescent="0.2">
      <c r="A66" s="436"/>
      <c r="B66" s="453"/>
      <c r="C66" s="455" t="s">
        <v>55</v>
      </c>
      <c r="D66" s="456"/>
      <c r="E66" s="456"/>
      <c r="F66" s="456"/>
      <c r="G66" s="456"/>
      <c r="H66" s="456"/>
      <c r="I66" s="456"/>
      <c r="J66" s="456"/>
      <c r="K66" s="456"/>
      <c r="L66" s="456"/>
      <c r="M66" s="457"/>
    </row>
    <row r="67" spans="1:13" x14ac:dyDescent="0.2">
      <c r="A67" s="436"/>
      <c r="B67" s="453"/>
      <c r="C67" s="9" t="s">
        <v>47</v>
      </c>
      <c r="M67" s="2"/>
    </row>
    <row r="68" spans="1:13" x14ac:dyDescent="0.2">
      <c r="A68" s="436"/>
      <c r="B68" s="453"/>
      <c r="C68" s="10" t="s">
        <v>48</v>
      </c>
      <c r="D68" s="30"/>
      <c r="E68" s="30"/>
      <c r="F68" s="30"/>
      <c r="G68" s="30"/>
      <c r="H68" s="30"/>
      <c r="I68" s="30"/>
      <c r="J68" s="30"/>
      <c r="K68" s="30"/>
      <c r="L68" s="30"/>
      <c r="M68" s="31"/>
    </row>
    <row r="69" spans="1:13" x14ac:dyDescent="0.2">
      <c r="A69" s="436"/>
      <c r="B69" s="453"/>
      <c r="C69" s="10" t="s">
        <v>49</v>
      </c>
      <c r="M69" s="2"/>
    </row>
    <row r="70" spans="1:13" x14ac:dyDescent="0.2">
      <c r="A70" s="436"/>
      <c r="B70" s="453"/>
      <c r="C70" s="98" t="s">
        <v>50</v>
      </c>
      <c r="D70" s="99"/>
      <c r="E70" s="99"/>
      <c r="F70" s="99"/>
      <c r="G70" s="99"/>
      <c r="H70" s="99"/>
      <c r="I70" s="99"/>
      <c r="J70" s="99"/>
      <c r="K70" s="99"/>
      <c r="L70" s="99"/>
      <c r="M70" s="100"/>
    </row>
    <row r="71" spans="1:13" x14ac:dyDescent="0.2">
      <c r="A71" s="436"/>
      <c r="B71" s="453"/>
      <c r="C71" s="10" t="s">
        <v>51</v>
      </c>
      <c r="M71" s="2"/>
    </row>
    <row r="72" spans="1:13" x14ac:dyDescent="0.2">
      <c r="A72" s="436"/>
      <c r="B72" s="453"/>
      <c r="C72" s="10" t="s">
        <v>49</v>
      </c>
      <c r="D72" s="30"/>
      <c r="E72" s="30"/>
      <c r="F72" s="30"/>
      <c r="G72" s="30"/>
      <c r="H72" s="30"/>
      <c r="I72" s="30"/>
      <c r="J72" s="30"/>
      <c r="K72" s="30"/>
      <c r="L72" s="30"/>
      <c r="M72" s="31"/>
    </row>
    <row r="73" spans="1:13" ht="16" thickBot="1" x14ac:dyDescent="0.25">
      <c r="A73" s="437"/>
      <c r="B73" s="454"/>
      <c r="C73" s="11" t="s">
        <v>50</v>
      </c>
      <c r="D73" s="4"/>
      <c r="E73" s="4"/>
      <c r="F73" s="4"/>
      <c r="G73" s="4"/>
      <c r="H73" s="4"/>
      <c r="I73" s="4"/>
      <c r="J73" s="4"/>
      <c r="K73" s="4"/>
      <c r="L73" s="4"/>
      <c r="M73" s="5"/>
    </row>
  </sheetData>
  <mergeCells count="13">
    <mergeCell ref="A1:M1"/>
    <mergeCell ref="A2:A73"/>
    <mergeCell ref="B2:B41"/>
    <mergeCell ref="C2:M2"/>
    <mergeCell ref="C10:M10"/>
    <mergeCell ref="C18:M18"/>
    <mergeCell ref="C26:M26"/>
    <mergeCell ref="C34:M34"/>
    <mergeCell ref="B42:B73"/>
    <mergeCell ref="C42:M42"/>
    <mergeCell ref="C50:M50"/>
    <mergeCell ref="C58:M58"/>
    <mergeCell ref="C66:M6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FBB87-15D8-4927-BBC5-5998A5E70919}">
  <sheetPr codeName="Sheet10">
    <tabColor theme="7"/>
  </sheetPr>
  <dimension ref="A1:K479"/>
  <sheetViews>
    <sheetView topLeftCell="D1" zoomScaleNormal="100" workbookViewId="0">
      <selection activeCell="F5" sqref="F5"/>
    </sheetView>
  </sheetViews>
  <sheetFormatPr baseColWidth="10" defaultColWidth="8.83203125" defaultRowHeight="15" x14ac:dyDescent="0.2"/>
  <cols>
    <col min="1" max="1" width="10" bestFit="1" customWidth="1"/>
    <col min="2" max="2" width="14.5" bestFit="1" customWidth="1"/>
    <col min="3" max="3" width="41.6640625" bestFit="1" customWidth="1"/>
    <col min="4" max="4" width="13.33203125" bestFit="1" customWidth="1"/>
    <col min="5" max="5" width="9.6640625" bestFit="1" customWidth="1"/>
    <col min="6" max="6" width="17.33203125" bestFit="1" customWidth="1"/>
    <col min="7" max="7" width="15.1640625" bestFit="1" customWidth="1"/>
    <col min="8" max="8" width="23.6640625" bestFit="1" customWidth="1"/>
    <col min="9" max="9" width="17.5" bestFit="1" customWidth="1"/>
    <col min="10" max="10" width="20.83203125" bestFit="1" customWidth="1"/>
    <col min="11" max="11" width="8.5" bestFit="1" customWidth="1"/>
  </cols>
  <sheetData>
    <row r="1" spans="1:11" ht="16" thickBot="1" x14ac:dyDescent="0.25">
      <c r="A1" s="460" t="s">
        <v>4</v>
      </c>
      <c r="B1" s="461"/>
      <c r="C1" s="461"/>
      <c r="D1" s="461"/>
      <c r="E1" s="461"/>
      <c r="F1" s="461"/>
      <c r="G1" s="461"/>
      <c r="H1" s="461"/>
      <c r="I1" s="461"/>
      <c r="J1" s="461"/>
      <c r="K1" s="461"/>
    </row>
    <row r="2" spans="1:11" ht="38" thickBot="1" x14ac:dyDescent="0.5">
      <c r="A2" s="458" t="s">
        <v>76</v>
      </c>
      <c r="B2" s="459"/>
      <c r="C2" s="459"/>
      <c r="D2" s="459"/>
      <c r="E2" s="459"/>
      <c r="F2" s="459"/>
      <c r="G2" s="459"/>
      <c r="H2" s="459"/>
      <c r="I2" s="459"/>
      <c r="J2" s="459"/>
      <c r="K2" s="459"/>
    </row>
    <row r="3" spans="1:11" x14ac:dyDescent="0.2">
      <c r="A3" s="414" t="s">
        <v>77</v>
      </c>
      <c r="B3" s="415"/>
      <c r="C3" s="415"/>
      <c r="D3" s="415"/>
      <c r="E3" s="415"/>
      <c r="F3" s="415"/>
      <c r="G3" s="415"/>
      <c r="H3" s="414" t="s">
        <v>78</v>
      </c>
      <c r="I3" s="415"/>
      <c r="J3" s="414" t="s">
        <v>131</v>
      </c>
      <c r="K3" s="415"/>
    </row>
    <row r="4" spans="1:11" x14ac:dyDescent="0.2">
      <c r="A4" s="294" t="s">
        <v>66</v>
      </c>
      <c r="B4" s="294" t="s">
        <v>67</v>
      </c>
      <c r="C4" s="294" t="s">
        <v>68</v>
      </c>
      <c r="D4" s="294" t="s">
        <v>69</v>
      </c>
      <c r="E4" s="294" t="s">
        <v>70</v>
      </c>
      <c r="F4" s="294" t="s">
        <v>71</v>
      </c>
      <c r="G4" s="294" t="s">
        <v>72</v>
      </c>
      <c r="H4" s="294" t="s">
        <v>65</v>
      </c>
      <c r="I4" s="294" t="s">
        <v>73</v>
      </c>
      <c r="J4" s="294" t="s">
        <v>74</v>
      </c>
      <c r="K4" s="294" t="s">
        <v>75</v>
      </c>
    </row>
    <row r="5" spans="1:11" x14ac:dyDescent="0.2">
      <c r="A5" s="295">
        <v>828095725</v>
      </c>
      <c r="B5" s="295">
        <v>11107422</v>
      </c>
      <c r="C5" s="295" t="s">
        <v>403</v>
      </c>
      <c r="D5" s="295" t="s">
        <v>404</v>
      </c>
      <c r="E5" s="295" t="s">
        <v>417</v>
      </c>
      <c r="F5" s="296">
        <v>2000</v>
      </c>
      <c r="G5" s="296">
        <v>1</v>
      </c>
      <c r="H5" s="297" t="s">
        <v>37</v>
      </c>
      <c r="I5" s="298">
        <v>6</v>
      </c>
      <c r="J5" s="299">
        <v>6</v>
      </c>
      <c r="K5" s="167" t="s">
        <v>422</v>
      </c>
    </row>
    <row r="6" spans="1:11" x14ac:dyDescent="0.2">
      <c r="A6" s="295">
        <v>828098757</v>
      </c>
      <c r="B6" s="295">
        <v>11110755</v>
      </c>
      <c r="C6" s="295" t="s">
        <v>405</v>
      </c>
      <c r="D6" s="295" t="s">
        <v>404</v>
      </c>
      <c r="E6" s="295" t="s">
        <v>406</v>
      </c>
      <c r="F6" s="296">
        <v>1500</v>
      </c>
      <c r="G6" s="296">
        <v>1</v>
      </c>
      <c r="H6" s="297" t="s">
        <v>37</v>
      </c>
      <c r="I6" s="298">
        <v>6</v>
      </c>
      <c r="J6" s="299">
        <v>6</v>
      </c>
      <c r="K6" s="167" t="s">
        <v>423</v>
      </c>
    </row>
    <row r="7" spans="1:11" x14ac:dyDescent="0.2">
      <c r="A7" s="295">
        <v>828098832</v>
      </c>
      <c r="B7" s="295">
        <v>11110844</v>
      </c>
      <c r="C7" s="295" t="s">
        <v>407</v>
      </c>
      <c r="D7" s="295" t="s">
        <v>404</v>
      </c>
      <c r="E7" s="295" t="s">
        <v>406</v>
      </c>
      <c r="F7" s="296">
        <v>1000</v>
      </c>
      <c r="G7" s="296">
        <v>1</v>
      </c>
      <c r="H7" s="297" t="s">
        <v>37</v>
      </c>
      <c r="I7" s="298">
        <v>4</v>
      </c>
      <c r="J7" s="299">
        <v>4</v>
      </c>
      <c r="K7" s="167" t="s">
        <v>422</v>
      </c>
    </row>
    <row r="8" spans="1:11" x14ac:dyDescent="0.2">
      <c r="A8" s="297">
        <v>828098983</v>
      </c>
      <c r="B8" s="298">
        <v>11111018</v>
      </c>
      <c r="C8" s="297" t="s">
        <v>407</v>
      </c>
      <c r="D8" s="295" t="s">
        <v>404</v>
      </c>
      <c r="E8" s="300" t="s">
        <v>406</v>
      </c>
      <c r="F8" s="315">
        <v>1000</v>
      </c>
      <c r="G8" s="296">
        <v>1</v>
      </c>
      <c r="H8" s="297" t="s">
        <v>37</v>
      </c>
      <c r="I8" s="298">
        <v>4</v>
      </c>
      <c r="J8" s="299">
        <v>4</v>
      </c>
      <c r="K8" s="167" t="s">
        <v>422</v>
      </c>
    </row>
    <row r="9" spans="1:11" x14ac:dyDescent="0.2">
      <c r="A9" s="297">
        <v>828098984</v>
      </c>
      <c r="B9" s="298">
        <v>11111019</v>
      </c>
      <c r="C9" s="297" t="s">
        <v>407</v>
      </c>
      <c r="D9" s="297" t="s">
        <v>404</v>
      </c>
      <c r="E9" s="297" t="s">
        <v>406</v>
      </c>
      <c r="F9" s="315">
        <v>1000</v>
      </c>
      <c r="G9" s="296">
        <v>1</v>
      </c>
      <c r="H9" s="297" t="s">
        <v>37</v>
      </c>
      <c r="I9" s="298">
        <v>4</v>
      </c>
      <c r="J9" s="299">
        <v>4</v>
      </c>
      <c r="K9" s="167" t="s">
        <v>422</v>
      </c>
    </row>
    <row r="10" spans="1:11" x14ac:dyDescent="0.2">
      <c r="A10" s="297">
        <v>828099228</v>
      </c>
      <c r="B10" s="298">
        <v>11111287</v>
      </c>
      <c r="C10" s="297" t="s">
        <v>407</v>
      </c>
      <c r="D10" s="297" t="s">
        <v>404</v>
      </c>
      <c r="E10" s="297" t="s">
        <v>406</v>
      </c>
      <c r="F10" s="315">
        <v>1000</v>
      </c>
      <c r="G10" s="296">
        <v>1</v>
      </c>
      <c r="H10" s="297" t="s">
        <v>37</v>
      </c>
      <c r="I10" s="298">
        <v>4</v>
      </c>
      <c r="J10" s="167">
        <v>4</v>
      </c>
      <c r="K10" s="167" t="s">
        <v>422</v>
      </c>
    </row>
    <row r="11" spans="1:11" x14ac:dyDescent="0.2">
      <c r="A11" s="297">
        <v>828099335</v>
      </c>
      <c r="B11" s="298">
        <v>11111404</v>
      </c>
      <c r="C11" s="297" t="s">
        <v>407</v>
      </c>
      <c r="D11" s="297" t="s">
        <v>404</v>
      </c>
      <c r="E11" s="297" t="s">
        <v>406</v>
      </c>
      <c r="F11" s="315">
        <v>1000</v>
      </c>
      <c r="G11" s="296">
        <v>1</v>
      </c>
      <c r="H11" s="297" t="s">
        <v>37</v>
      </c>
      <c r="I11" s="298">
        <v>4</v>
      </c>
      <c r="J11" s="167">
        <v>4</v>
      </c>
      <c r="K11" s="167" t="s">
        <v>422</v>
      </c>
    </row>
    <row r="12" spans="1:11" x14ac:dyDescent="0.2">
      <c r="A12" s="297">
        <v>828099336</v>
      </c>
      <c r="B12" s="298">
        <v>11111405</v>
      </c>
      <c r="C12" s="297" t="s">
        <v>407</v>
      </c>
      <c r="D12" s="297" t="s">
        <v>404</v>
      </c>
      <c r="E12" s="297" t="s">
        <v>406</v>
      </c>
      <c r="F12" s="315">
        <v>1000</v>
      </c>
      <c r="G12" s="296">
        <v>1</v>
      </c>
      <c r="H12" s="297" t="s">
        <v>37</v>
      </c>
      <c r="I12" s="298">
        <v>4</v>
      </c>
      <c r="J12" s="167">
        <v>4</v>
      </c>
      <c r="K12" s="167" t="s">
        <v>422</v>
      </c>
    </row>
    <row r="13" spans="1:11" x14ac:dyDescent="0.2">
      <c r="A13" s="297">
        <v>828099337</v>
      </c>
      <c r="B13" s="297">
        <v>11111406</v>
      </c>
      <c r="C13" s="297" t="s">
        <v>407</v>
      </c>
      <c r="D13" s="297" t="s">
        <v>404</v>
      </c>
      <c r="E13" s="297" t="s">
        <v>406</v>
      </c>
      <c r="F13" s="315">
        <v>1000</v>
      </c>
      <c r="G13" s="296">
        <v>1</v>
      </c>
      <c r="H13" s="297" t="s">
        <v>37</v>
      </c>
      <c r="I13" s="298">
        <v>4</v>
      </c>
      <c r="J13" s="167">
        <v>4</v>
      </c>
      <c r="K13" s="167" t="s">
        <v>422</v>
      </c>
    </row>
    <row r="14" spans="1:11" x14ac:dyDescent="0.2">
      <c r="A14" s="297">
        <v>828099340</v>
      </c>
      <c r="B14" s="297">
        <v>11111409</v>
      </c>
      <c r="C14" s="297" t="s">
        <v>405</v>
      </c>
      <c r="D14" s="297" t="s">
        <v>404</v>
      </c>
      <c r="E14" s="297" t="s">
        <v>406</v>
      </c>
      <c r="F14" s="315">
        <v>1500</v>
      </c>
      <c r="G14" s="296">
        <v>1</v>
      </c>
      <c r="H14" s="297" t="s">
        <v>37</v>
      </c>
      <c r="I14" s="298">
        <v>4</v>
      </c>
      <c r="J14" s="167">
        <v>4</v>
      </c>
      <c r="K14" s="167" t="s">
        <v>423</v>
      </c>
    </row>
    <row r="15" spans="1:11" x14ac:dyDescent="0.2">
      <c r="A15" s="297">
        <v>828099448</v>
      </c>
      <c r="B15" s="297">
        <v>11111533</v>
      </c>
      <c r="C15" s="297" t="s">
        <v>407</v>
      </c>
      <c r="D15" s="297" t="s">
        <v>404</v>
      </c>
      <c r="E15" s="297" t="s">
        <v>406</v>
      </c>
      <c r="F15" s="315">
        <v>1000</v>
      </c>
      <c r="G15" s="296">
        <v>1</v>
      </c>
      <c r="H15" s="297" t="s">
        <v>37</v>
      </c>
      <c r="I15" s="298">
        <v>4</v>
      </c>
      <c r="J15" s="167">
        <v>4</v>
      </c>
      <c r="K15" s="167" t="s">
        <v>422</v>
      </c>
    </row>
    <row r="16" spans="1:11" x14ac:dyDescent="0.2">
      <c r="A16" s="297">
        <v>828099449</v>
      </c>
      <c r="B16" s="297">
        <v>11111534</v>
      </c>
      <c r="C16" s="297" t="s">
        <v>407</v>
      </c>
      <c r="D16" s="297" t="s">
        <v>404</v>
      </c>
      <c r="E16" s="297" t="s">
        <v>406</v>
      </c>
      <c r="F16" s="315">
        <v>1000</v>
      </c>
      <c r="G16" s="296">
        <v>1</v>
      </c>
      <c r="H16" s="297" t="s">
        <v>37</v>
      </c>
      <c r="I16" s="298">
        <v>4</v>
      </c>
      <c r="J16" s="167">
        <v>4</v>
      </c>
      <c r="K16" s="167" t="s">
        <v>422</v>
      </c>
    </row>
    <row r="17" spans="1:11" x14ac:dyDescent="0.2">
      <c r="A17" s="297">
        <v>828093553</v>
      </c>
      <c r="B17" s="297">
        <v>11105085</v>
      </c>
      <c r="C17" s="297" t="s">
        <v>408</v>
      </c>
      <c r="D17" s="297" t="s">
        <v>409</v>
      </c>
      <c r="E17" s="297" t="s">
        <v>417</v>
      </c>
      <c r="F17" s="315">
        <v>6500</v>
      </c>
      <c r="G17" s="296">
        <v>1</v>
      </c>
      <c r="H17" s="297" t="s">
        <v>37</v>
      </c>
      <c r="I17" s="298">
        <v>6</v>
      </c>
      <c r="J17" s="167">
        <v>6</v>
      </c>
      <c r="K17" s="167" t="s">
        <v>422</v>
      </c>
    </row>
    <row r="18" spans="1:11" x14ac:dyDescent="0.2">
      <c r="A18" s="297">
        <v>828093715</v>
      </c>
      <c r="B18" s="297">
        <v>11105247</v>
      </c>
      <c r="C18" s="297" t="s">
        <v>410</v>
      </c>
      <c r="D18" s="297" t="s">
        <v>409</v>
      </c>
      <c r="E18" s="297" t="s">
        <v>417</v>
      </c>
      <c r="F18" s="315">
        <v>2000</v>
      </c>
      <c r="G18" s="296">
        <v>1</v>
      </c>
      <c r="H18" s="297" t="s">
        <v>37</v>
      </c>
      <c r="I18" s="298">
        <v>6</v>
      </c>
      <c r="J18" s="167">
        <v>6</v>
      </c>
      <c r="K18" s="167" t="s">
        <v>423</v>
      </c>
    </row>
    <row r="19" spans="1:11" x14ac:dyDescent="0.2">
      <c r="A19" s="297">
        <v>828096544</v>
      </c>
      <c r="B19" s="297">
        <v>11108370</v>
      </c>
      <c r="C19" s="297" t="s">
        <v>408</v>
      </c>
      <c r="D19" s="297" t="s">
        <v>409</v>
      </c>
      <c r="E19" s="297" t="s">
        <v>411</v>
      </c>
      <c r="F19" s="315">
        <v>2500</v>
      </c>
      <c r="G19" s="296">
        <v>1</v>
      </c>
      <c r="H19" s="297" t="s">
        <v>37</v>
      </c>
      <c r="I19" s="298">
        <v>6</v>
      </c>
      <c r="J19" s="167">
        <v>6</v>
      </c>
      <c r="K19" s="167" t="s">
        <v>422</v>
      </c>
    </row>
    <row r="20" spans="1:11" x14ac:dyDescent="0.2">
      <c r="A20" s="297">
        <v>828096666</v>
      </c>
      <c r="B20" s="297">
        <v>11108500</v>
      </c>
      <c r="C20" s="297" t="s">
        <v>410</v>
      </c>
      <c r="D20" s="297" t="s">
        <v>409</v>
      </c>
      <c r="E20" s="297" t="s">
        <v>411</v>
      </c>
      <c r="F20" s="315">
        <v>1000</v>
      </c>
      <c r="G20" s="296">
        <v>1</v>
      </c>
      <c r="H20" s="297" t="s">
        <v>37</v>
      </c>
      <c r="I20" s="298">
        <v>6</v>
      </c>
      <c r="J20" s="167">
        <v>6</v>
      </c>
      <c r="K20" s="167" t="s">
        <v>423</v>
      </c>
    </row>
    <row r="21" spans="1:11" x14ac:dyDescent="0.2">
      <c r="A21" s="297">
        <v>828097366</v>
      </c>
      <c r="B21" s="297">
        <v>11109269</v>
      </c>
      <c r="C21" s="297" t="s">
        <v>412</v>
      </c>
      <c r="D21" s="297" t="s">
        <v>409</v>
      </c>
      <c r="E21" s="297" t="s">
        <v>411</v>
      </c>
      <c r="F21" s="315">
        <v>3500</v>
      </c>
      <c r="G21" s="296">
        <v>1</v>
      </c>
      <c r="H21" s="297" t="s">
        <v>37</v>
      </c>
      <c r="I21" s="298">
        <v>4</v>
      </c>
      <c r="J21" s="167">
        <v>4</v>
      </c>
      <c r="K21" s="167" t="s">
        <v>423</v>
      </c>
    </row>
    <row r="22" spans="1:11" x14ac:dyDescent="0.2">
      <c r="A22" s="297">
        <v>828097367</v>
      </c>
      <c r="B22" s="297">
        <v>11109270</v>
      </c>
      <c r="C22" s="297" t="s">
        <v>412</v>
      </c>
      <c r="D22" s="297" t="s">
        <v>409</v>
      </c>
      <c r="E22" s="297" t="s">
        <v>411</v>
      </c>
      <c r="F22" s="315">
        <v>3500</v>
      </c>
      <c r="G22" s="296">
        <v>1</v>
      </c>
      <c r="H22" s="297" t="s">
        <v>37</v>
      </c>
      <c r="I22" s="298">
        <v>4</v>
      </c>
      <c r="J22" s="167">
        <v>4</v>
      </c>
      <c r="K22" s="167" t="s">
        <v>423</v>
      </c>
    </row>
    <row r="23" spans="1:11" x14ac:dyDescent="0.2">
      <c r="A23" s="297">
        <v>828097475</v>
      </c>
      <c r="B23" s="297">
        <v>11109378</v>
      </c>
      <c r="C23" s="297" t="s">
        <v>413</v>
      </c>
      <c r="D23" s="297" t="s">
        <v>409</v>
      </c>
      <c r="E23" s="297" t="s">
        <v>417</v>
      </c>
      <c r="F23" s="315">
        <v>7000</v>
      </c>
      <c r="G23" s="296">
        <v>1</v>
      </c>
      <c r="H23" s="297" t="s">
        <v>37</v>
      </c>
      <c r="I23" s="298">
        <v>6</v>
      </c>
      <c r="J23" s="167">
        <v>6</v>
      </c>
      <c r="K23" s="167" t="s">
        <v>423</v>
      </c>
    </row>
    <row r="24" spans="1:11" x14ac:dyDescent="0.2">
      <c r="A24" s="297">
        <v>828097488</v>
      </c>
      <c r="B24" s="297">
        <v>11109391</v>
      </c>
      <c r="C24" s="297" t="s">
        <v>408</v>
      </c>
      <c r="D24" s="297" t="s">
        <v>409</v>
      </c>
      <c r="E24" s="297" t="s">
        <v>417</v>
      </c>
      <c r="F24" s="315">
        <v>6500</v>
      </c>
      <c r="G24" s="296">
        <v>1</v>
      </c>
      <c r="H24" s="297" t="s">
        <v>37</v>
      </c>
      <c r="I24" s="298">
        <v>6</v>
      </c>
      <c r="J24" s="167">
        <v>6</v>
      </c>
      <c r="K24" s="167" t="s">
        <v>422</v>
      </c>
    </row>
    <row r="25" spans="1:11" x14ac:dyDescent="0.2">
      <c r="A25" s="297">
        <v>828097763</v>
      </c>
      <c r="B25" s="297">
        <v>11109686</v>
      </c>
      <c r="C25" s="297" t="s">
        <v>414</v>
      </c>
      <c r="D25" s="297" t="s">
        <v>409</v>
      </c>
      <c r="E25" s="297" t="s">
        <v>400</v>
      </c>
      <c r="F25" s="315">
        <v>2000</v>
      </c>
      <c r="G25" s="296">
        <v>1</v>
      </c>
      <c r="H25" s="297" t="s">
        <v>37</v>
      </c>
      <c r="I25" s="298">
        <v>6</v>
      </c>
      <c r="J25" s="167">
        <v>6</v>
      </c>
      <c r="K25" s="167" t="s">
        <v>422</v>
      </c>
    </row>
    <row r="26" spans="1:11" x14ac:dyDescent="0.2">
      <c r="A26" s="297">
        <v>828098945</v>
      </c>
      <c r="B26" s="297">
        <v>11110980</v>
      </c>
      <c r="C26" s="297" t="s">
        <v>413</v>
      </c>
      <c r="D26" s="297" t="s">
        <v>409</v>
      </c>
      <c r="E26" s="297" t="s">
        <v>400</v>
      </c>
      <c r="F26" s="315">
        <v>2500</v>
      </c>
      <c r="G26" s="296">
        <v>1</v>
      </c>
      <c r="H26" s="297" t="s">
        <v>37</v>
      </c>
      <c r="I26" s="298">
        <v>4</v>
      </c>
      <c r="J26" s="167">
        <v>4</v>
      </c>
      <c r="K26" s="167" t="s">
        <v>423</v>
      </c>
    </row>
    <row r="27" spans="1:11" x14ac:dyDescent="0.2">
      <c r="A27" s="297">
        <v>828099305</v>
      </c>
      <c r="B27" s="297">
        <v>11111364</v>
      </c>
      <c r="C27" s="297" t="s">
        <v>414</v>
      </c>
      <c r="D27" s="297" t="s">
        <v>409</v>
      </c>
      <c r="E27" s="297" t="s">
        <v>400</v>
      </c>
      <c r="F27" s="315">
        <v>2000</v>
      </c>
      <c r="G27" s="296">
        <v>1</v>
      </c>
      <c r="H27" s="297" t="s">
        <v>37</v>
      </c>
      <c r="I27" s="298">
        <v>6</v>
      </c>
      <c r="J27" s="167">
        <v>6</v>
      </c>
      <c r="K27" s="167" t="s">
        <v>422</v>
      </c>
    </row>
    <row r="28" spans="1:11" x14ac:dyDescent="0.2">
      <c r="A28" s="297">
        <v>828099635</v>
      </c>
      <c r="B28" s="297">
        <v>11111728</v>
      </c>
      <c r="C28" s="297" t="s">
        <v>408</v>
      </c>
      <c r="D28" s="297" t="s">
        <v>409</v>
      </c>
      <c r="E28" s="297" t="s">
        <v>417</v>
      </c>
      <c r="F28" s="315">
        <v>6500</v>
      </c>
      <c r="G28" s="296">
        <v>1</v>
      </c>
      <c r="H28" s="297" t="s">
        <v>37</v>
      </c>
      <c r="I28" s="298">
        <v>6</v>
      </c>
      <c r="J28" s="167">
        <v>6</v>
      </c>
      <c r="K28" s="167" t="s">
        <v>422</v>
      </c>
    </row>
    <row r="29" spans="1:11" x14ac:dyDescent="0.2">
      <c r="A29" s="297">
        <v>828091563</v>
      </c>
      <c r="B29" s="297">
        <v>11102928</v>
      </c>
      <c r="C29" s="297" t="s">
        <v>415</v>
      </c>
      <c r="D29" s="297" t="s">
        <v>416</v>
      </c>
      <c r="E29" s="297" t="s">
        <v>418</v>
      </c>
      <c r="F29" s="315">
        <v>1500</v>
      </c>
      <c r="G29" s="296">
        <v>1</v>
      </c>
      <c r="H29" s="297" t="s">
        <v>37</v>
      </c>
      <c r="I29" s="298">
        <v>6</v>
      </c>
      <c r="J29" s="167">
        <v>6</v>
      </c>
      <c r="K29" s="167" t="s">
        <v>422</v>
      </c>
    </row>
    <row r="30" spans="1:11" x14ac:dyDescent="0.2">
      <c r="A30" s="297">
        <v>828094361</v>
      </c>
      <c r="B30" s="297">
        <v>11105940</v>
      </c>
      <c r="C30" s="297" t="s">
        <v>413</v>
      </c>
      <c r="D30" s="297" t="s">
        <v>416</v>
      </c>
      <c r="E30" s="297" t="s">
        <v>417</v>
      </c>
      <c r="F30" s="315">
        <v>7000</v>
      </c>
      <c r="G30" s="296">
        <v>1</v>
      </c>
      <c r="H30" s="297" t="s">
        <v>37</v>
      </c>
      <c r="I30" s="298">
        <v>4</v>
      </c>
      <c r="J30" s="167">
        <v>4</v>
      </c>
      <c r="K30" s="167" t="s">
        <v>423</v>
      </c>
    </row>
    <row r="31" spans="1:11" x14ac:dyDescent="0.2">
      <c r="A31" s="297">
        <v>828094369</v>
      </c>
      <c r="B31" s="297">
        <v>11105948</v>
      </c>
      <c r="C31" s="297" t="s">
        <v>408</v>
      </c>
      <c r="D31" s="297" t="s">
        <v>416</v>
      </c>
      <c r="E31" s="297" t="s">
        <v>417</v>
      </c>
      <c r="F31" s="315">
        <v>6500</v>
      </c>
      <c r="G31" s="296">
        <v>1</v>
      </c>
      <c r="H31" s="297" t="s">
        <v>37</v>
      </c>
      <c r="I31" s="298">
        <v>6</v>
      </c>
      <c r="J31" s="167">
        <v>6</v>
      </c>
      <c r="K31" s="167" t="s">
        <v>422</v>
      </c>
    </row>
    <row r="32" spans="1:11" x14ac:dyDescent="0.2">
      <c r="A32" s="297">
        <v>828097198</v>
      </c>
      <c r="B32" s="297">
        <v>11109087</v>
      </c>
      <c r="C32" s="297" t="s">
        <v>415</v>
      </c>
      <c r="D32" s="297" t="s">
        <v>416</v>
      </c>
      <c r="E32" s="297" t="s">
        <v>418</v>
      </c>
      <c r="F32" s="315">
        <v>1500</v>
      </c>
      <c r="G32" s="296">
        <v>1</v>
      </c>
      <c r="H32" s="297" t="s">
        <v>37</v>
      </c>
      <c r="I32" s="298">
        <v>6</v>
      </c>
      <c r="J32" s="167">
        <v>6</v>
      </c>
      <c r="K32" s="167" t="s">
        <v>422</v>
      </c>
    </row>
    <row r="33" spans="1:11" x14ac:dyDescent="0.2">
      <c r="A33" s="297">
        <v>828097365</v>
      </c>
      <c r="B33" s="297">
        <v>11109268</v>
      </c>
      <c r="C33" s="297" t="s">
        <v>413</v>
      </c>
      <c r="D33" s="297" t="s">
        <v>416</v>
      </c>
      <c r="E33" s="297" t="s">
        <v>417</v>
      </c>
      <c r="F33" s="315">
        <v>7000</v>
      </c>
      <c r="G33" s="296">
        <v>1</v>
      </c>
      <c r="H33" s="297" t="s">
        <v>37</v>
      </c>
      <c r="I33" s="298">
        <v>4</v>
      </c>
      <c r="J33" s="167">
        <v>4</v>
      </c>
      <c r="K33" s="167" t="s">
        <v>423</v>
      </c>
    </row>
    <row r="34" spans="1:11" x14ac:dyDescent="0.2">
      <c r="A34" s="297">
        <v>828097386</v>
      </c>
      <c r="B34" s="297">
        <v>11109289</v>
      </c>
      <c r="C34" s="297" t="s">
        <v>415</v>
      </c>
      <c r="D34" s="297" t="s">
        <v>416</v>
      </c>
      <c r="E34" s="297" t="s">
        <v>418</v>
      </c>
      <c r="F34" s="315">
        <v>1500</v>
      </c>
      <c r="G34" s="296">
        <v>1</v>
      </c>
      <c r="H34" s="297" t="s">
        <v>37</v>
      </c>
      <c r="I34" s="298">
        <v>6</v>
      </c>
      <c r="J34" s="167">
        <v>6</v>
      </c>
      <c r="K34" s="167" t="s">
        <v>422</v>
      </c>
    </row>
    <row r="35" spans="1:11" x14ac:dyDescent="0.2">
      <c r="A35" s="297">
        <v>828097387</v>
      </c>
      <c r="B35" s="297">
        <v>11109290</v>
      </c>
      <c r="C35" s="297" t="s">
        <v>408</v>
      </c>
      <c r="D35" s="297" t="s">
        <v>416</v>
      </c>
      <c r="E35" s="297" t="s">
        <v>411</v>
      </c>
      <c r="F35" s="315">
        <v>2500</v>
      </c>
      <c r="G35" s="296">
        <v>1</v>
      </c>
      <c r="H35" s="297" t="s">
        <v>37</v>
      </c>
      <c r="I35" s="298">
        <v>6</v>
      </c>
      <c r="J35" s="167">
        <v>6</v>
      </c>
      <c r="K35" s="167" t="s">
        <v>422</v>
      </c>
    </row>
    <row r="36" spans="1:11" x14ac:dyDescent="0.2">
      <c r="A36" s="297">
        <v>828098946</v>
      </c>
      <c r="B36" s="297">
        <v>11110981</v>
      </c>
      <c r="C36" s="297" t="s">
        <v>413</v>
      </c>
      <c r="D36" s="297" t="s">
        <v>416</v>
      </c>
      <c r="E36" s="297" t="s">
        <v>400</v>
      </c>
      <c r="F36" s="315">
        <v>2500</v>
      </c>
      <c r="G36" s="296">
        <v>1</v>
      </c>
      <c r="H36" s="297" t="s">
        <v>37</v>
      </c>
      <c r="I36" s="298">
        <v>4</v>
      </c>
      <c r="J36" s="167">
        <v>4</v>
      </c>
      <c r="K36" s="167" t="s">
        <v>423</v>
      </c>
    </row>
    <row r="37" spans="1:11" x14ac:dyDescent="0.2">
      <c r="A37" s="297">
        <v>828098948</v>
      </c>
      <c r="B37" s="297">
        <v>11110983</v>
      </c>
      <c r="C37" s="297" t="s">
        <v>413</v>
      </c>
      <c r="D37" s="297" t="s">
        <v>416</v>
      </c>
      <c r="E37" s="297" t="s">
        <v>400</v>
      </c>
      <c r="F37" s="315">
        <v>2500</v>
      </c>
      <c r="G37" s="296">
        <v>1</v>
      </c>
      <c r="H37" s="297" t="s">
        <v>37</v>
      </c>
      <c r="I37" s="298">
        <v>4</v>
      </c>
      <c r="J37" s="167">
        <v>4</v>
      </c>
      <c r="K37" s="167" t="s">
        <v>423</v>
      </c>
    </row>
    <row r="38" spans="1:11" x14ac:dyDescent="0.2">
      <c r="A38" s="297"/>
      <c r="B38" s="297"/>
      <c r="C38" s="297"/>
      <c r="D38" s="297"/>
      <c r="E38" s="297"/>
      <c r="F38" s="298"/>
      <c r="G38" s="296"/>
      <c r="H38" s="297"/>
      <c r="I38" s="298"/>
      <c r="J38" s="167"/>
      <c r="K38" s="167"/>
    </row>
    <row r="39" spans="1:11" x14ac:dyDescent="0.2">
      <c r="A39" s="297"/>
      <c r="B39" s="297"/>
      <c r="C39" s="297"/>
      <c r="D39" s="297"/>
      <c r="E39" s="297"/>
      <c r="F39" s="298"/>
      <c r="G39" s="296"/>
      <c r="H39" s="297"/>
      <c r="I39" s="298"/>
      <c r="J39" s="167"/>
      <c r="K39" s="167"/>
    </row>
    <row r="40" spans="1:11" x14ac:dyDescent="0.2">
      <c r="A40" s="297"/>
      <c r="B40" s="297"/>
      <c r="C40" s="297"/>
      <c r="D40" s="297"/>
      <c r="E40" s="297"/>
      <c r="F40" s="298"/>
      <c r="G40" s="296"/>
      <c r="H40" s="297"/>
      <c r="I40" s="298"/>
      <c r="J40" s="167"/>
      <c r="K40" s="167"/>
    </row>
    <row r="41" spans="1:11" x14ac:dyDescent="0.2">
      <c r="A41" s="297"/>
      <c r="B41" s="297"/>
      <c r="C41" s="297"/>
      <c r="D41" s="297"/>
      <c r="E41" s="297"/>
      <c r="F41" s="298"/>
      <c r="G41" s="296"/>
      <c r="H41" s="297"/>
      <c r="I41" s="298"/>
      <c r="J41" s="167"/>
      <c r="K41" s="167"/>
    </row>
    <row r="42" spans="1:11" x14ac:dyDescent="0.2">
      <c r="A42" s="297"/>
      <c r="B42" s="297"/>
      <c r="C42" s="297"/>
      <c r="D42" s="297"/>
      <c r="E42" s="297"/>
      <c r="F42" s="298"/>
      <c r="G42" s="296"/>
      <c r="H42" s="297"/>
      <c r="I42" s="298"/>
      <c r="J42" s="167"/>
      <c r="K42" s="167"/>
    </row>
    <row r="43" spans="1:11" x14ac:dyDescent="0.2">
      <c r="A43" s="297"/>
      <c r="B43" s="297"/>
      <c r="C43" s="297"/>
      <c r="D43" s="297"/>
      <c r="E43" s="297"/>
      <c r="F43" s="298"/>
      <c r="G43" s="296"/>
      <c r="H43" s="297"/>
      <c r="I43" s="298"/>
      <c r="J43" s="167"/>
      <c r="K43" s="167"/>
    </row>
    <row r="44" spans="1:11" x14ac:dyDescent="0.2">
      <c r="A44" s="297"/>
      <c r="B44" s="297"/>
      <c r="C44" s="297"/>
      <c r="D44" s="297"/>
      <c r="E44" s="297"/>
      <c r="F44" s="298"/>
      <c r="G44" s="296"/>
      <c r="H44" s="297"/>
      <c r="I44" s="298"/>
      <c r="J44" s="167"/>
      <c r="K44" s="167"/>
    </row>
    <row r="45" spans="1:11" x14ac:dyDescent="0.2">
      <c r="A45" s="297"/>
      <c r="B45" s="297"/>
      <c r="C45" s="297"/>
      <c r="D45" s="297"/>
      <c r="E45" s="297"/>
      <c r="F45" s="298"/>
      <c r="G45" s="296"/>
      <c r="H45" s="297"/>
      <c r="I45" s="298"/>
      <c r="J45" s="167"/>
      <c r="K45" s="167"/>
    </row>
    <row r="46" spans="1:11" x14ac:dyDescent="0.2">
      <c r="A46" s="297"/>
      <c r="B46" s="297"/>
      <c r="C46" s="297"/>
      <c r="D46" s="297"/>
      <c r="E46" s="297"/>
      <c r="F46" s="298"/>
      <c r="G46" s="296"/>
      <c r="H46" s="297"/>
      <c r="I46" s="298"/>
      <c r="J46" s="167"/>
      <c r="K46" s="167"/>
    </row>
    <row r="47" spans="1:11" x14ac:dyDescent="0.2">
      <c r="A47" s="297"/>
      <c r="B47" s="297"/>
      <c r="C47" s="297"/>
      <c r="D47" s="297"/>
      <c r="E47" s="297"/>
      <c r="F47" s="298"/>
      <c r="G47" s="296"/>
      <c r="H47" s="297"/>
      <c r="I47" s="298"/>
      <c r="J47" s="167"/>
      <c r="K47" s="167"/>
    </row>
    <row r="48" spans="1:11" x14ac:dyDescent="0.2">
      <c r="A48" s="297"/>
      <c r="B48" s="297"/>
      <c r="C48" s="297"/>
      <c r="D48" s="297"/>
      <c r="E48" s="297"/>
      <c r="F48" s="298"/>
      <c r="G48" s="296"/>
      <c r="H48" s="297"/>
      <c r="I48" s="298"/>
      <c r="J48" s="167"/>
      <c r="K48" s="167"/>
    </row>
    <row r="49" spans="1:11" x14ac:dyDescent="0.2">
      <c r="A49" s="297"/>
      <c r="B49" s="297"/>
      <c r="C49" s="297"/>
      <c r="D49" s="297"/>
      <c r="E49" s="297"/>
      <c r="F49" s="298"/>
      <c r="G49" s="296"/>
      <c r="H49" s="297"/>
      <c r="I49" s="298"/>
      <c r="J49" s="167"/>
      <c r="K49" s="167"/>
    </row>
    <row r="50" spans="1:11" x14ac:dyDescent="0.2">
      <c r="A50" s="297"/>
      <c r="B50" s="297"/>
      <c r="C50" s="297"/>
      <c r="D50" s="297"/>
      <c r="E50" s="297"/>
      <c r="F50" s="298"/>
      <c r="G50" s="296"/>
      <c r="H50" s="297"/>
      <c r="I50" s="298"/>
      <c r="J50" s="167"/>
      <c r="K50" s="167"/>
    </row>
    <row r="51" spans="1:11" x14ac:dyDescent="0.2">
      <c r="A51" s="297"/>
      <c r="B51" s="297"/>
      <c r="C51" s="297"/>
      <c r="D51" s="297"/>
      <c r="E51" s="297"/>
      <c r="F51" s="298"/>
      <c r="G51" s="296"/>
      <c r="H51" s="297"/>
      <c r="I51" s="298"/>
      <c r="J51" s="167"/>
      <c r="K51" s="167"/>
    </row>
    <row r="52" spans="1:11" x14ac:dyDescent="0.2">
      <c r="A52" s="297"/>
      <c r="B52" s="297"/>
      <c r="C52" s="297"/>
      <c r="D52" s="297"/>
      <c r="E52" s="297"/>
      <c r="F52" s="298"/>
      <c r="G52" s="296"/>
      <c r="H52" s="297"/>
      <c r="I52" s="298"/>
      <c r="J52" s="167"/>
      <c r="K52" s="167"/>
    </row>
    <row r="53" spans="1:11" x14ac:dyDescent="0.2">
      <c r="A53" s="297"/>
      <c r="B53" s="297"/>
      <c r="C53" s="297"/>
      <c r="D53" s="297"/>
      <c r="E53" s="297"/>
      <c r="F53" s="298"/>
      <c r="G53" s="296"/>
      <c r="H53" s="297"/>
      <c r="I53" s="298"/>
      <c r="J53" s="167"/>
      <c r="K53" s="167"/>
    </row>
    <row r="54" spans="1:11" x14ac:dyDescent="0.2">
      <c r="A54" s="297"/>
      <c r="B54" s="297"/>
      <c r="C54" s="297"/>
      <c r="D54" s="297"/>
      <c r="E54" s="297"/>
      <c r="F54" s="298"/>
      <c r="G54" s="296"/>
      <c r="H54" s="297"/>
      <c r="I54" s="298"/>
      <c r="J54" s="167"/>
      <c r="K54" s="167"/>
    </row>
    <row r="55" spans="1:11" x14ac:dyDescent="0.2">
      <c r="A55" s="297"/>
      <c r="B55" s="297"/>
      <c r="C55" s="297"/>
      <c r="D55" s="297"/>
      <c r="E55" s="297"/>
      <c r="F55" s="298"/>
      <c r="G55" s="296"/>
      <c r="H55" s="297"/>
      <c r="I55" s="298"/>
      <c r="J55" s="167"/>
      <c r="K55" s="167"/>
    </row>
    <row r="56" spans="1:11" x14ac:dyDescent="0.2">
      <c r="A56" s="289"/>
      <c r="B56" s="292"/>
      <c r="C56" s="289"/>
      <c r="D56" s="289"/>
      <c r="E56" s="289"/>
      <c r="F56" s="293"/>
      <c r="G56" s="296"/>
      <c r="H56" s="297"/>
      <c r="I56" s="298"/>
      <c r="J56" s="167"/>
      <c r="K56" s="167"/>
    </row>
    <row r="57" spans="1:11" x14ac:dyDescent="0.2">
      <c r="A57" s="289"/>
      <c r="B57" s="292"/>
      <c r="C57" s="289"/>
      <c r="D57" s="289"/>
      <c r="E57" s="289"/>
      <c r="F57" s="293"/>
      <c r="G57" s="296"/>
      <c r="H57" s="297"/>
      <c r="I57" s="298"/>
      <c r="J57" s="167"/>
      <c r="K57" s="167"/>
    </row>
    <row r="58" spans="1:11" x14ac:dyDescent="0.2">
      <c r="A58" s="289"/>
      <c r="B58" s="292"/>
      <c r="C58" s="289"/>
      <c r="D58" s="289"/>
      <c r="E58" s="289"/>
      <c r="F58" s="293"/>
      <c r="G58" s="296"/>
      <c r="I58" s="298"/>
      <c r="J58" s="167"/>
      <c r="K58" s="167"/>
    </row>
    <row r="59" spans="1:11" x14ac:dyDescent="0.2">
      <c r="A59" s="289"/>
      <c r="B59" s="292"/>
      <c r="C59" s="289"/>
      <c r="D59" s="289"/>
      <c r="E59" s="289"/>
      <c r="F59" s="293"/>
      <c r="G59" s="296"/>
      <c r="H59" s="297"/>
      <c r="I59" s="298"/>
      <c r="J59" s="167"/>
      <c r="K59" s="167"/>
    </row>
    <row r="60" spans="1:11" x14ac:dyDescent="0.2">
      <c r="A60" s="289"/>
      <c r="B60" s="292"/>
      <c r="C60" s="289"/>
      <c r="D60" s="289"/>
      <c r="E60" s="289"/>
      <c r="F60" s="293"/>
      <c r="G60" s="296"/>
      <c r="H60" s="297"/>
      <c r="I60" s="298"/>
      <c r="J60" s="167"/>
      <c r="K60" s="167"/>
    </row>
    <row r="61" spans="1:11" x14ac:dyDescent="0.2">
      <c r="A61" s="289"/>
      <c r="B61" s="292"/>
      <c r="C61" s="289"/>
      <c r="D61" s="289"/>
      <c r="E61" s="289"/>
      <c r="F61" s="293"/>
      <c r="G61" s="296"/>
      <c r="H61" s="297"/>
      <c r="I61" s="298"/>
      <c r="J61" s="167"/>
      <c r="K61" s="167"/>
    </row>
    <row r="62" spans="1:11" x14ac:dyDescent="0.2">
      <c r="A62" s="289"/>
      <c r="B62" s="292"/>
      <c r="C62" s="289"/>
      <c r="D62" s="289"/>
      <c r="E62" s="289"/>
      <c r="F62" s="293"/>
      <c r="G62" s="296"/>
      <c r="H62" s="297"/>
      <c r="I62" s="298"/>
      <c r="J62" s="167"/>
      <c r="K62" s="167"/>
    </row>
    <row r="63" spans="1:11" x14ac:dyDescent="0.2">
      <c r="A63" s="289"/>
      <c r="B63" s="292"/>
      <c r="C63" s="289"/>
      <c r="D63" s="289"/>
      <c r="E63" s="289"/>
      <c r="F63" s="293"/>
      <c r="G63" s="296"/>
      <c r="H63" s="297"/>
      <c r="I63" s="298"/>
      <c r="J63" s="167"/>
      <c r="K63" s="167"/>
    </row>
    <row r="64" spans="1:11" x14ac:dyDescent="0.2">
      <c r="A64" s="289"/>
      <c r="B64" s="292"/>
      <c r="C64" s="289"/>
      <c r="D64" s="289"/>
      <c r="E64" s="289"/>
      <c r="F64" s="293"/>
      <c r="G64" s="296"/>
      <c r="H64" s="297"/>
      <c r="I64" s="298"/>
      <c r="J64" s="167"/>
      <c r="K64" s="167"/>
    </row>
    <row r="65" spans="1:11" x14ac:dyDescent="0.2">
      <c r="A65" s="289"/>
      <c r="B65" s="292"/>
      <c r="C65" s="289"/>
      <c r="D65" s="289"/>
      <c r="E65" s="289"/>
      <c r="F65" s="293"/>
      <c r="G65" s="296"/>
      <c r="H65" s="297"/>
      <c r="I65" s="298"/>
      <c r="J65" s="167"/>
      <c r="K65" s="167"/>
    </row>
    <row r="66" spans="1:11" x14ac:dyDescent="0.2">
      <c r="A66" s="289"/>
      <c r="B66" s="292"/>
      <c r="C66" s="289"/>
      <c r="D66" s="289"/>
      <c r="E66" s="289"/>
      <c r="F66" s="293"/>
      <c r="G66" s="296"/>
      <c r="H66" s="297"/>
      <c r="I66" s="298"/>
      <c r="J66" s="167"/>
      <c r="K66" s="167"/>
    </row>
    <row r="67" spans="1:11" x14ac:dyDescent="0.2">
      <c r="A67" s="289"/>
      <c r="B67" s="292"/>
      <c r="C67" s="289"/>
      <c r="D67" s="289"/>
      <c r="E67" s="289"/>
      <c r="F67" s="293"/>
      <c r="G67" s="296"/>
      <c r="H67" s="297"/>
      <c r="I67" s="298"/>
      <c r="J67" s="167"/>
      <c r="K67" s="167"/>
    </row>
    <row r="68" spans="1:11" x14ac:dyDescent="0.2">
      <c r="A68" s="289"/>
      <c r="B68" s="292"/>
      <c r="C68" s="289"/>
      <c r="D68" s="289"/>
      <c r="E68" s="289"/>
      <c r="F68" s="293"/>
      <c r="G68" s="296"/>
      <c r="H68" s="297"/>
      <c r="I68" s="298"/>
      <c r="J68" s="167"/>
      <c r="K68" s="167"/>
    </row>
    <row r="69" spans="1:11" x14ac:dyDescent="0.2">
      <c r="A69" s="289"/>
      <c r="B69" s="292"/>
      <c r="C69" s="289"/>
      <c r="D69" s="289"/>
      <c r="E69" s="289"/>
      <c r="F69" s="293"/>
      <c r="G69" s="296"/>
      <c r="H69" s="297"/>
      <c r="I69" s="298"/>
      <c r="J69" s="167"/>
      <c r="K69" s="167"/>
    </row>
    <row r="70" spans="1:11" x14ac:dyDescent="0.2">
      <c r="A70" s="289"/>
      <c r="B70" s="292"/>
      <c r="C70" s="289"/>
      <c r="D70" s="289"/>
      <c r="E70" s="289"/>
      <c r="F70" s="293"/>
      <c r="G70" s="296"/>
      <c r="H70" s="297"/>
      <c r="I70" s="298"/>
      <c r="J70" s="167"/>
      <c r="K70" s="167"/>
    </row>
    <row r="71" spans="1:11" x14ac:dyDescent="0.2">
      <c r="A71" s="289"/>
      <c r="B71" s="292"/>
      <c r="C71" s="289"/>
      <c r="D71" s="289"/>
      <c r="E71" s="289"/>
      <c r="F71" s="293"/>
      <c r="G71" s="296"/>
      <c r="H71" s="297"/>
      <c r="I71" s="298"/>
      <c r="J71" s="167"/>
      <c r="K71" s="167"/>
    </row>
    <row r="72" spans="1:11" x14ac:dyDescent="0.2">
      <c r="A72" s="289"/>
      <c r="B72" s="292"/>
      <c r="C72" s="289"/>
      <c r="D72" s="289"/>
      <c r="E72" s="289"/>
      <c r="F72" s="293"/>
      <c r="G72" s="296"/>
      <c r="H72" s="297"/>
      <c r="I72" s="298"/>
      <c r="J72" s="167"/>
      <c r="K72" s="167"/>
    </row>
    <row r="73" spans="1:11" x14ac:dyDescent="0.2">
      <c r="A73" s="289"/>
      <c r="B73" s="292"/>
      <c r="C73" s="289"/>
      <c r="D73" s="289"/>
      <c r="E73" s="289"/>
      <c r="F73" s="293"/>
      <c r="G73" s="296"/>
      <c r="H73" s="297"/>
      <c r="I73" s="298"/>
      <c r="J73" s="167"/>
      <c r="K73" s="167"/>
    </row>
    <row r="74" spans="1:11" x14ac:dyDescent="0.2">
      <c r="A74" s="289"/>
      <c r="B74" s="292"/>
      <c r="C74" s="289"/>
      <c r="D74" s="289"/>
      <c r="E74" s="289"/>
      <c r="F74" s="293"/>
      <c r="G74" s="293"/>
      <c r="H74" s="297"/>
      <c r="I74" s="167"/>
      <c r="J74" s="167"/>
      <c r="K74" s="167"/>
    </row>
    <row r="75" spans="1:11" x14ac:dyDescent="0.2">
      <c r="A75" s="289"/>
      <c r="B75" s="292"/>
      <c r="C75" s="289"/>
      <c r="D75" s="289"/>
      <c r="E75" s="289"/>
      <c r="F75" s="293"/>
      <c r="G75" s="293"/>
      <c r="H75" s="297"/>
      <c r="I75" s="167"/>
      <c r="J75" s="167"/>
      <c r="K75" s="167"/>
    </row>
    <row r="76" spans="1:11" x14ac:dyDescent="0.2">
      <c r="A76" s="289"/>
      <c r="B76" s="292"/>
      <c r="C76" s="289"/>
      <c r="D76" s="289"/>
      <c r="E76" s="289"/>
      <c r="F76" s="293"/>
      <c r="G76" s="293"/>
      <c r="H76" s="297"/>
      <c r="I76" s="167"/>
      <c r="J76" s="167"/>
      <c r="K76" s="167"/>
    </row>
    <row r="77" spans="1:11" x14ac:dyDescent="0.2">
      <c r="A77" s="289"/>
      <c r="B77" s="292"/>
      <c r="C77" s="289"/>
      <c r="D77" s="289"/>
      <c r="E77" s="289"/>
      <c r="F77" s="293"/>
      <c r="G77" s="293"/>
      <c r="H77" s="297"/>
      <c r="I77" s="167"/>
      <c r="J77" s="167"/>
      <c r="K77" s="167"/>
    </row>
    <row r="78" spans="1:11" x14ac:dyDescent="0.2">
      <c r="A78" s="289"/>
      <c r="B78" s="292"/>
      <c r="C78" s="289"/>
      <c r="D78" s="289"/>
      <c r="E78" s="289"/>
      <c r="F78" s="293"/>
      <c r="G78" s="293"/>
      <c r="H78" s="297"/>
      <c r="I78" s="167"/>
      <c r="J78" s="167"/>
      <c r="K78" s="167"/>
    </row>
    <row r="79" spans="1:11" x14ac:dyDescent="0.2">
      <c r="A79" s="289"/>
      <c r="B79" s="292"/>
      <c r="C79" s="289"/>
      <c r="D79" s="289"/>
      <c r="E79" s="289"/>
      <c r="F79" s="293"/>
      <c r="G79" s="293"/>
      <c r="H79" s="297"/>
      <c r="I79" s="167"/>
      <c r="J79" s="167"/>
      <c r="K79" s="167"/>
    </row>
    <row r="80" spans="1:11" x14ac:dyDescent="0.2">
      <c r="A80" s="289"/>
      <c r="B80" s="292"/>
      <c r="C80" s="289"/>
      <c r="D80" s="289"/>
      <c r="E80" s="289"/>
      <c r="F80" s="293"/>
      <c r="G80" s="293"/>
      <c r="H80" s="297"/>
      <c r="I80" s="167"/>
      <c r="J80" s="167"/>
      <c r="K80" s="167"/>
    </row>
    <row r="81" spans="1:11" x14ac:dyDescent="0.2">
      <c r="A81" s="289"/>
      <c r="B81" s="292"/>
      <c r="C81" s="289"/>
      <c r="D81" s="289"/>
      <c r="E81" s="289"/>
      <c r="F81" s="293"/>
      <c r="G81" s="293"/>
      <c r="H81" s="297"/>
      <c r="I81" s="167"/>
      <c r="J81" s="167"/>
      <c r="K81" s="167"/>
    </row>
    <row r="82" spans="1:11" x14ac:dyDescent="0.2">
      <c r="A82" s="289"/>
      <c r="B82" s="292"/>
      <c r="C82" s="289"/>
      <c r="D82" s="289"/>
      <c r="E82" s="289"/>
      <c r="F82" s="293"/>
      <c r="G82" s="293"/>
      <c r="H82" s="297"/>
      <c r="I82" s="167"/>
      <c r="J82" s="167"/>
      <c r="K82" s="167"/>
    </row>
    <row r="83" spans="1:11" x14ac:dyDescent="0.2">
      <c r="A83" s="289"/>
      <c r="B83" s="292"/>
      <c r="C83" s="289"/>
      <c r="D83" s="289"/>
      <c r="E83" s="289"/>
      <c r="F83" s="293"/>
      <c r="G83" s="293"/>
      <c r="H83" s="297"/>
      <c r="I83" s="167"/>
      <c r="J83" s="167"/>
      <c r="K83" s="167"/>
    </row>
    <row r="84" spans="1:11" x14ac:dyDescent="0.2">
      <c r="A84" s="289"/>
      <c r="B84" s="292"/>
      <c r="C84" s="289"/>
      <c r="D84" s="289"/>
      <c r="E84" s="289"/>
      <c r="F84" s="293"/>
      <c r="G84" s="293"/>
      <c r="H84" s="297"/>
      <c r="I84" s="167"/>
      <c r="J84" s="167"/>
      <c r="K84" s="167"/>
    </row>
    <row r="85" spans="1:11" x14ac:dyDescent="0.2">
      <c r="A85" s="289"/>
      <c r="B85" s="292"/>
      <c r="C85" s="289"/>
      <c r="D85" s="289"/>
      <c r="E85" s="289"/>
      <c r="F85" s="293"/>
      <c r="G85" s="293"/>
      <c r="H85" s="297"/>
      <c r="I85" s="167"/>
      <c r="J85" s="167"/>
      <c r="K85" s="167"/>
    </row>
    <row r="86" spans="1:11" x14ac:dyDescent="0.2">
      <c r="A86" s="289"/>
      <c r="B86" s="292"/>
      <c r="C86" s="289"/>
      <c r="D86" s="289"/>
      <c r="E86" s="289"/>
      <c r="F86" s="293"/>
      <c r="G86" s="293"/>
      <c r="H86" s="297"/>
      <c r="I86" s="167"/>
      <c r="J86" s="167"/>
      <c r="K86" s="167"/>
    </row>
    <row r="87" spans="1:11" x14ac:dyDescent="0.2">
      <c r="A87" s="289"/>
      <c r="B87" s="292"/>
      <c r="C87" s="289"/>
      <c r="D87" s="289"/>
      <c r="E87" s="289"/>
      <c r="F87" s="293"/>
      <c r="G87" s="293"/>
      <c r="H87" s="297"/>
      <c r="I87" s="167"/>
      <c r="J87" s="167"/>
      <c r="K87" s="167"/>
    </row>
    <row r="88" spans="1:11" x14ac:dyDescent="0.2">
      <c r="A88" s="289"/>
      <c r="B88" s="292"/>
      <c r="C88" s="289"/>
      <c r="D88" s="289"/>
      <c r="E88" s="289"/>
      <c r="F88" s="293"/>
      <c r="G88" s="293"/>
      <c r="H88" s="167"/>
      <c r="I88" s="167"/>
      <c r="J88" s="167"/>
      <c r="K88" s="167"/>
    </row>
    <row r="89" spans="1:11" x14ac:dyDescent="0.2">
      <c r="A89" s="289"/>
      <c r="B89" s="292"/>
      <c r="C89" s="289"/>
      <c r="D89" s="289"/>
      <c r="E89" s="289"/>
      <c r="F89" s="293"/>
      <c r="G89" s="293"/>
      <c r="H89" s="167"/>
      <c r="I89" s="167"/>
      <c r="J89" s="167"/>
      <c r="K89" s="167"/>
    </row>
    <row r="90" spans="1:11" x14ac:dyDescent="0.2">
      <c r="A90" s="289"/>
      <c r="B90" s="292"/>
      <c r="C90" s="289"/>
      <c r="D90" s="289"/>
      <c r="E90" s="289"/>
      <c r="F90" s="293"/>
      <c r="G90" s="293"/>
      <c r="H90" s="167"/>
      <c r="I90" s="167"/>
      <c r="J90" s="167"/>
      <c r="K90" s="167"/>
    </row>
    <row r="91" spans="1:11" x14ac:dyDescent="0.2">
      <c r="A91" s="289"/>
      <c r="B91" s="292"/>
      <c r="C91" s="289"/>
      <c r="D91" s="289"/>
      <c r="E91" s="289"/>
      <c r="F91" s="293"/>
      <c r="G91" s="293"/>
      <c r="H91" s="167"/>
      <c r="I91" s="167"/>
      <c r="J91" s="167"/>
      <c r="K91" s="167"/>
    </row>
    <row r="92" spans="1:11" x14ac:dyDescent="0.2">
      <c r="A92" s="289"/>
      <c r="B92" s="292"/>
      <c r="C92" s="289"/>
      <c r="D92" s="289"/>
      <c r="E92" s="289"/>
      <c r="F92" s="293"/>
      <c r="G92" s="293"/>
      <c r="H92" s="167"/>
      <c r="I92" s="167"/>
      <c r="J92" s="167"/>
      <c r="K92" s="167"/>
    </row>
    <row r="93" spans="1:11" x14ac:dyDescent="0.2">
      <c r="A93" s="289"/>
      <c r="B93" s="292"/>
      <c r="C93" s="289"/>
      <c r="D93" s="289"/>
      <c r="E93" s="289"/>
      <c r="F93" s="293"/>
      <c r="G93" s="293"/>
      <c r="H93" s="167"/>
      <c r="I93" s="167"/>
      <c r="J93" s="167"/>
      <c r="K93" s="167"/>
    </row>
    <row r="94" spans="1:11" x14ac:dyDescent="0.2">
      <c r="A94" s="289"/>
      <c r="B94" s="292"/>
      <c r="C94" s="289"/>
      <c r="D94" s="289"/>
      <c r="E94" s="289"/>
      <c r="F94" s="293"/>
      <c r="G94" s="293"/>
      <c r="H94" s="167"/>
      <c r="I94" s="167"/>
      <c r="J94" s="167"/>
      <c r="K94" s="167"/>
    </row>
    <row r="95" spans="1:11" x14ac:dyDescent="0.2">
      <c r="A95" s="289"/>
      <c r="B95" s="292"/>
      <c r="C95" s="289"/>
      <c r="D95" s="289"/>
      <c r="E95" s="289"/>
      <c r="F95" s="293"/>
      <c r="G95" s="293"/>
      <c r="H95" s="167"/>
      <c r="I95" s="167"/>
      <c r="J95" s="167"/>
      <c r="K95" s="167"/>
    </row>
    <row r="96" spans="1:11" x14ac:dyDescent="0.2">
      <c r="A96" s="289"/>
      <c r="B96" s="292"/>
      <c r="C96" s="289"/>
      <c r="D96" s="289"/>
      <c r="E96" s="289"/>
      <c r="F96" s="293"/>
      <c r="G96" s="293"/>
      <c r="H96" s="167"/>
      <c r="I96" s="167"/>
      <c r="J96" s="167"/>
      <c r="K96" s="167"/>
    </row>
    <row r="97" spans="1:11" x14ac:dyDescent="0.2">
      <c r="A97" s="289"/>
      <c r="B97" s="292"/>
      <c r="C97" s="289"/>
      <c r="D97" s="289"/>
      <c r="E97" s="289"/>
      <c r="F97" s="293"/>
      <c r="G97" s="293"/>
      <c r="H97" s="167"/>
      <c r="I97" s="167"/>
      <c r="J97" s="167"/>
      <c r="K97" s="167"/>
    </row>
    <row r="98" spans="1:11" x14ac:dyDescent="0.2">
      <c r="A98" s="289"/>
      <c r="B98" s="292"/>
      <c r="C98" s="289"/>
      <c r="D98" s="289"/>
      <c r="E98" s="289"/>
      <c r="F98" s="293"/>
      <c r="G98" s="293"/>
      <c r="H98" s="167"/>
      <c r="I98" s="167"/>
      <c r="J98" s="167"/>
      <c r="K98" s="167"/>
    </row>
    <row r="99" spans="1:11" x14ac:dyDescent="0.2">
      <c r="A99" s="289"/>
      <c r="B99" s="292"/>
      <c r="C99" s="289"/>
      <c r="D99" s="289"/>
      <c r="E99" s="289"/>
      <c r="F99" s="293"/>
      <c r="G99" s="293"/>
      <c r="H99" s="167"/>
      <c r="I99" s="167"/>
      <c r="J99" s="167"/>
      <c r="K99" s="167"/>
    </row>
    <row r="100" spans="1:11" x14ac:dyDescent="0.2">
      <c r="A100" s="289"/>
      <c r="B100" s="292"/>
      <c r="C100" s="289"/>
      <c r="D100" s="289"/>
      <c r="E100" s="289"/>
      <c r="F100" s="293"/>
      <c r="G100" s="293"/>
      <c r="H100" s="167"/>
      <c r="I100" s="167"/>
      <c r="J100" s="167"/>
      <c r="K100" s="167"/>
    </row>
    <row r="101" spans="1:11" x14ac:dyDescent="0.2">
      <c r="A101" s="289"/>
      <c r="B101" s="292"/>
      <c r="C101" s="289"/>
      <c r="D101" s="289"/>
      <c r="E101" s="289"/>
      <c r="F101" s="293"/>
      <c r="G101" s="293"/>
      <c r="H101" s="167"/>
      <c r="I101" s="167"/>
      <c r="J101" s="167"/>
      <c r="K101" s="167"/>
    </row>
    <row r="102" spans="1:11" x14ac:dyDescent="0.2">
      <c r="A102" s="289"/>
      <c r="B102" s="292"/>
      <c r="C102" s="289"/>
      <c r="D102" s="289"/>
      <c r="E102" s="289"/>
      <c r="F102" s="293"/>
      <c r="G102" s="293"/>
      <c r="H102" s="167"/>
      <c r="I102" s="167"/>
      <c r="J102" s="167"/>
      <c r="K102" s="167"/>
    </row>
    <row r="103" spans="1:11" x14ac:dyDescent="0.2">
      <c r="A103" s="289"/>
      <c r="B103" s="292"/>
      <c r="C103" s="289"/>
      <c r="D103" s="289"/>
      <c r="E103" s="289"/>
      <c r="F103" s="293"/>
      <c r="G103" s="293"/>
      <c r="H103" s="167"/>
      <c r="I103" s="167"/>
      <c r="J103" s="167"/>
      <c r="K103" s="167"/>
    </row>
    <row r="104" spans="1:11" x14ac:dyDescent="0.2">
      <c r="A104" s="289"/>
      <c r="B104" s="292"/>
      <c r="C104" s="289"/>
      <c r="D104" s="289"/>
      <c r="E104" s="289"/>
      <c r="F104" s="293"/>
      <c r="G104" s="293"/>
      <c r="H104" s="167"/>
      <c r="I104" s="167"/>
      <c r="J104" s="167"/>
      <c r="K104" s="167"/>
    </row>
    <row r="105" spans="1:11" x14ac:dyDescent="0.2">
      <c r="A105" s="289"/>
      <c r="B105" s="292"/>
      <c r="C105" s="289"/>
      <c r="D105" s="289"/>
      <c r="E105" s="289"/>
      <c r="F105" s="293"/>
      <c r="G105" s="293"/>
      <c r="H105" s="167"/>
      <c r="I105" s="167"/>
      <c r="J105" s="167"/>
      <c r="K105" s="167"/>
    </row>
    <row r="106" spans="1:11" x14ac:dyDescent="0.2">
      <c r="A106" s="289"/>
      <c r="B106" s="292"/>
      <c r="C106" s="289"/>
      <c r="D106" s="289"/>
      <c r="E106" s="289"/>
      <c r="F106" s="293"/>
      <c r="G106" s="293"/>
      <c r="H106" s="167"/>
      <c r="I106" s="167"/>
      <c r="J106" s="167"/>
      <c r="K106" s="167"/>
    </row>
    <row r="107" spans="1:11" x14ac:dyDescent="0.2">
      <c r="A107" s="289"/>
      <c r="B107" s="292"/>
      <c r="C107" s="289"/>
      <c r="D107" s="289"/>
      <c r="E107" s="289"/>
      <c r="F107" s="293"/>
      <c r="G107" s="293"/>
      <c r="H107" s="167"/>
      <c r="I107" s="167"/>
      <c r="J107" s="167"/>
      <c r="K107" s="167"/>
    </row>
    <row r="108" spans="1:11" x14ac:dyDescent="0.2">
      <c r="A108" s="289"/>
      <c r="B108" s="292"/>
      <c r="C108" s="289"/>
      <c r="D108" s="289"/>
      <c r="E108" s="289"/>
      <c r="F108" s="293"/>
      <c r="G108" s="293"/>
      <c r="H108" s="167"/>
      <c r="I108" s="167"/>
      <c r="J108" s="167"/>
      <c r="K108" s="167"/>
    </row>
    <row r="109" spans="1:11" x14ac:dyDescent="0.2">
      <c r="A109" s="289"/>
      <c r="B109" s="292"/>
      <c r="C109" s="289"/>
      <c r="D109" s="289"/>
      <c r="E109" s="289"/>
      <c r="F109" s="293"/>
      <c r="G109" s="293"/>
      <c r="H109" s="167"/>
      <c r="I109" s="167"/>
      <c r="J109" s="167"/>
      <c r="K109" s="167"/>
    </row>
    <row r="110" spans="1:11" x14ac:dyDescent="0.2">
      <c r="A110" s="289"/>
      <c r="B110" s="292"/>
      <c r="C110" s="289"/>
      <c r="D110" s="289"/>
      <c r="E110" s="289"/>
      <c r="F110" s="293"/>
      <c r="G110" s="293"/>
      <c r="H110" s="167"/>
      <c r="I110" s="167"/>
      <c r="J110" s="167"/>
      <c r="K110" s="167"/>
    </row>
    <row r="111" spans="1:11" x14ac:dyDescent="0.2">
      <c r="A111" s="289"/>
      <c r="B111" s="292"/>
      <c r="C111" s="289"/>
      <c r="D111" s="289"/>
      <c r="E111" s="289"/>
      <c r="F111" s="293"/>
      <c r="G111" s="293"/>
      <c r="H111" s="167"/>
      <c r="I111" s="167"/>
      <c r="J111" s="167"/>
      <c r="K111" s="167"/>
    </row>
    <row r="112" spans="1:11" x14ac:dyDescent="0.2">
      <c r="A112" s="289"/>
      <c r="B112" s="292"/>
      <c r="C112" s="289"/>
      <c r="D112" s="289"/>
      <c r="E112" s="289"/>
      <c r="F112" s="293"/>
      <c r="G112" s="293"/>
      <c r="H112" s="167"/>
      <c r="I112" s="167"/>
      <c r="J112" s="167"/>
      <c r="K112" s="167"/>
    </row>
    <row r="113" spans="1:11" x14ac:dyDescent="0.2">
      <c r="A113" s="289"/>
      <c r="B113" s="292"/>
      <c r="C113" s="289"/>
      <c r="D113" s="289"/>
      <c r="E113" s="289"/>
      <c r="F113" s="293"/>
      <c r="G113" s="293"/>
      <c r="H113" s="167"/>
      <c r="I113" s="167"/>
      <c r="J113" s="167"/>
      <c r="K113" s="167"/>
    </row>
    <row r="114" spans="1:11" x14ac:dyDescent="0.2">
      <c r="A114" s="289"/>
      <c r="B114" s="292"/>
      <c r="C114" s="289"/>
      <c r="D114" s="289"/>
      <c r="E114" s="289"/>
      <c r="F114" s="293"/>
      <c r="G114" s="293"/>
      <c r="H114" s="167"/>
      <c r="I114" s="167"/>
      <c r="J114" s="167"/>
      <c r="K114" s="167"/>
    </row>
    <row r="115" spans="1:11" x14ac:dyDescent="0.2">
      <c r="A115" s="289"/>
      <c r="B115" s="292"/>
      <c r="C115" s="289"/>
      <c r="D115" s="289"/>
      <c r="E115" s="289"/>
      <c r="F115" s="293"/>
      <c r="G115" s="293"/>
      <c r="H115" s="167"/>
      <c r="I115" s="167"/>
      <c r="J115" s="167"/>
      <c r="K115" s="167"/>
    </row>
    <row r="116" spans="1:11" x14ac:dyDescent="0.2">
      <c r="A116" s="289"/>
      <c r="B116" s="292"/>
      <c r="C116" s="289"/>
      <c r="D116" s="289"/>
      <c r="E116" s="289"/>
      <c r="F116" s="293"/>
      <c r="G116" s="293"/>
      <c r="H116" s="167"/>
      <c r="I116" s="167"/>
      <c r="J116" s="167"/>
      <c r="K116" s="167"/>
    </row>
    <row r="117" spans="1:11" x14ac:dyDescent="0.2">
      <c r="A117" s="289"/>
      <c r="B117" s="292"/>
      <c r="C117" s="289"/>
      <c r="D117" s="289"/>
      <c r="E117" s="289"/>
      <c r="F117" s="293"/>
      <c r="G117" s="293"/>
      <c r="H117" s="167"/>
      <c r="I117" s="167"/>
      <c r="J117" s="167"/>
      <c r="K117" s="167"/>
    </row>
    <row r="118" spans="1:11" x14ac:dyDescent="0.2">
      <c r="A118" s="289"/>
      <c r="B118" s="292"/>
      <c r="C118" s="289"/>
      <c r="D118" s="289"/>
      <c r="E118" s="289"/>
      <c r="F118" s="293"/>
      <c r="G118" s="293"/>
      <c r="H118" s="167"/>
      <c r="I118" s="167"/>
      <c r="J118" s="167"/>
      <c r="K118" s="167"/>
    </row>
    <row r="119" spans="1:11" x14ac:dyDescent="0.2">
      <c r="A119" s="1"/>
      <c r="G119" s="2"/>
      <c r="H119" s="1"/>
      <c r="I119" s="2"/>
      <c r="J119" s="1"/>
      <c r="K119" s="2"/>
    </row>
    <row r="120" spans="1:11" x14ac:dyDescent="0.2">
      <c r="A120" s="1"/>
      <c r="G120" s="2"/>
      <c r="H120" s="1"/>
      <c r="I120" s="2"/>
      <c r="J120" s="1"/>
      <c r="K120" s="2"/>
    </row>
    <row r="121" spans="1:11" x14ac:dyDescent="0.2">
      <c r="A121" s="1"/>
      <c r="G121" s="2"/>
      <c r="H121" s="1"/>
      <c r="I121" s="2"/>
      <c r="J121" s="1"/>
      <c r="K121" s="2"/>
    </row>
    <row r="122" spans="1:11" x14ac:dyDescent="0.2">
      <c r="A122" s="1"/>
      <c r="G122" s="2"/>
      <c r="H122" s="1"/>
      <c r="I122" s="2"/>
      <c r="J122" s="1"/>
      <c r="K122" s="2"/>
    </row>
    <row r="123" spans="1:11" x14ac:dyDescent="0.2">
      <c r="A123" s="1"/>
      <c r="G123" s="2"/>
      <c r="H123" s="1"/>
      <c r="I123" s="2"/>
      <c r="J123" s="1"/>
      <c r="K123" s="2"/>
    </row>
    <row r="124" spans="1:11" x14ac:dyDescent="0.2">
      <c r="A124" s="1"/>
      <c r="G124" s="2"/>
      <c r="H124" s="1"/>
      <c r="I124" s="2"/>
      <c r="J124" s="1"/>
      <c r="K124" s="2"/>
    </row>
    <row r="125" spans="1:11" x14ac:dyDescent="0.2">
      <c r="A125" s="1"/>
      <c r="G125" s="2"/>
      <c r="H125" s="1"/>
      <c r="I125" s="2"/>
      <c r="J125" s="1"/>
      <c r="K125" s="2"/>
    </row>
    <row r="126" spans="1:11" x14ac:dyDescent="0.2">
      <c r="A126" s="1"/>
      <c r="G126" s="2"/>
      <c r="H126" s="1"/>
      <c r="I126" s="2"/>
      <c r="J126" s="1"/>
      <c r="K126" s="2"/>
    </row>
    <row r="127" spans="1:11" x14ac:dyDescent="0.2">
      <c r="A127" s="1"/>
      <c r="G127" s="2"/>
      <c r="H127" s="1"/>
      <c r="I127" s="2"/>
      <c r="J127" s="1"/>
      <c r="K127" s="2"/>
    </row>
    <row r="128" spans="1:11" x14ac:dyDescent="0.2">
      <c r="A128" s="1"/>
      <c r="G128" s="2"/>
      <c r="H128" s="1"/>
      <c r="I128" s="2"/>
      <c r="J128" s="1"/>
      <c r="K128" s="2"/>
    </row>
    <row r="129" spans="1:11" x14ac:dyDescent="0.2">
      <c r="A129" s="1"/>
      <c r="G129" s="2"/>
      <c r="H129" s="1"/>
      <c r="I129" s="2"/>
      <c r="J129" s="1"/>
      <c r="K129" s="2"/>
    </row>
    <row r="130" spans="1:11" x14ac:dyDescent="0.2">
      <c r="A130" s="1"/>
      <c r="G130" s="2"/>
      <c r="H130" s="1"/>
      <c r="I130" s="2"/>
      <c r="J130" s="1"/>
      <c r="K130" s="2"/>
    </row>
    <row r="131" spans="1:11" x14ac:dyDescent="0.2">
      <c r="A131" s="1"/>
      <c r="G131" s="2"/>
      <c r="H131" s="1"/>
      <c r="I131" s="2"/>
      <c r="J131" s="1"/>
      <c r="K131" s="2"/>
    </row>
    <row r="132" spans="1:11" x14ac:dyDescent="0.2">
      <c r="A132" s="1"/>
      <c r="G132" s="2"/>
      <c r="H132" s="1"/>
      <c r="I132" s="2"/>
      <c r="J132" s="1"/>
      <c r="K132" s="2"/>
    </row>
    <row r="133" spans="1:11" x14ac:dyDescent="0.2">
      <c r="A133" s="1"/>
      <c r="G133" s="2"/>
      <c r="H133" s="1"/>
      <c r="I133" s="2"/>
      <c r="J133" s="1"/>
      <c r="K133" s="2"/>
    </row>
    <row r="134" spans="1:11" x14ac:dyDescent="0.2">
      <c r="A134" s="1"/>
      <c r="G134" s="2"/>
      <c r="H134" s="1"/>
      <c r="I134" s="2"/>
      <c r="J134" s="1"/>
      <c r="K134" s="2"/>
    </row>
    <row r="135" spans="1:11" x14ac:dyDescent="0.2">
      <c r="A135" s="1"/>
      <c r="G135" s="2"/>
      <c r="H135" s="1"/>
      <c r="I135" s="2"/>
      <c r="J135" s="1"/>
      <c r="K135" s="2"/>
    </row>
    <row r="136" spans="1:11" x14ac:dyDescent="0.2">
      <c r="A136" s="1"/>
      <c r="G136" s="2"/>
      <c r="H136" s="1"/>
      <c r="I136" s="2"/>
      <c r="J136" s="1"/>
      <c r="K136" s="2"/>
    </row>
    <row r="137" spans="1:11" x14ac:dyDescent="0.2">
      <c r="A137" s="1"/>
      <c r="G137" s="2"/>
      <c r="H137" s="1"/>
      <c r="I137" s="2"/>
      <c r="J137" s="1"/>
      <c r="K137" s="2"/>
    </row>
    <row r="138" spans="1:11" x14ac:dyDescent="0.2">
      <c r="A138" s="1"/>
      <c r="G138" s="2"/>
      <c r="H138" s="1"/>
      <c r="I138" s="2"/>
      <c r="J138" s="1"/>
      <c r="K138" s="2"/>
    </row>
    <row r="139" spans="1:11" x14ac:dyDescent="0.2">
      <c r="A139" s="1"/>
      <c r="G139" s="2"/>
      <c r="H139" s="1"/>
      <c r="I139" s="2"/>
      <c r="J139" s="1"/>
      <c r="K139" s="2"/>
    </row>
    <row r="140" spans="1:11" x14ac:dyDescent="0.2">
      <c r="A140" s="1"/>
      <c r="G140" s="2"/>
      <c r="H140" s="1"/>
      <c r="I140" s="2"/>
      <c r="J140" s="1"/>
      <c r="K140" s="2"/>
    </row>
    <row r="141" spans="1:11" x14ac:dyDescent="0.2">
      <c r="A141" s="1"/>
      <c r="G141" s="2"/>
      <c r="H141" s="1"/>
      <c r="I141" s="2"/>
      <c r="J141" s="1"/>
      <c r="K141" s="2"/>
    </row>
    <row r="142" spans="1:11" x14ac:dyDescent="0.2">
      <c r="A142" s="1"/>
      <c r="G142" s="2"/>
      <c r="H142" s="1"/>
      <c r="I142" s="2"/>
      <c r="J142" s="1"/>
      <c r="K142" s="2"/>
    </row>
    <row r="143" spans="1:11" x14ac:dyDescent="0.2">
      <c r="A143" s="1"/>
      <c r="G143" s="2"/>
      <c r="H143" s="1"/>
      <c r="I143" s="2"/>
      <c r="J143" s="1"/>
      <c r="K143" s="2"/>
    </row>
    <row r="144" spans="1:11" x14ac:dyDescent="0.2">
      <c r="A144" s="1"/>
      <c r="G144" s="2"/>
      <c r="H144" s="1"/>
      <c r="I144" s="2"/>
      <c r="J144" s="1"/>
      <c r="K144" s="2"/>
    </row>
    <row r="145" spans="1:11" x14ac:dyDescent="0.2">
      <c r="A145" s="1"/>
      <c r="G145" s="2"/>
      <c r="H145" s="1"/>
      <c r="I145" s="2"/>
      <c r="J145" s="1"/>
      <c r="K145" s="2"/>
    </row>
    <row r="146" spans="1:11" x14ac:dyDescent="0.2">
      <c r="A146" s="1"/>
      <c r="G146" s="2"/>
      <c r="H146" s="1"/>
      <c r="I146" s="2"/>
      <c r="J146" s="1"/>
      <c r="K146" s="2"/>
    </row>
    <row r="147" spans="1:11" x14ac:dyDescent="0.2">
      <c r="A147" s="1"/>
      <c r="G147" s="2"/>
      <c r="H147" s="1"/>
      <c r="I147" s="2"/>
      <c r="J147" s="1"/>
      <c r="K147" s="2"/>
    </row>
    <row r="148" spans="1:11" x14ac:dyDescent="0.2">
      <c r="A148" s="1"/>
      <c r="G148" s="2"/>
      <c r="H148" s="1"/>
      <c r="I148" s="2"/>
      <c r="J148" s="1"/>
      <c r="K148" s="2"/>
    </row>
    <row r="149" spans="1:11" x14ac:dyDescent="0.2">
      <c r="A149" s="1"/>
      <c r="G149" s="2"/>
      <c r="H149" s="1"/>
      <c r="I149" s="2"/>
      <c r="J149" s="1"/>
      <c r="K149" s="2"/>
    </row>
    <row r="150" spans="1:11" x14ac:dyDescent="0.2">
      <c r="A150" s="1"/>
      <c r="G150" s="2"/>
      <c r="H150" s="1"/>
      <c r="I150" s="2"/>
      <c r="J150" s="1"/>
      <c r="K150" s="2"/>
    </row>
    <row r="151" spans="1:11" x14ac:dyDescent="0.2">
      <c r="A151" s="1"/>
      <c r="G151" s="2"/>
      <c r="H151" s="1"/>
      <c r="I151" s="2"/>
      <c r="J151" s="1"/>
      <c r="K151" s="2"/>
    </row>
    <row r="152" spans="1:11" x14ac:dyDescent="0.2">
      <c r="A152" s="1"/>
      <c r="G152" s="2"/>
      <c r="H152" s="1"/>
      <c r="I152" s="2"/>
      <c r="J152" s="1"/>
      <c r="K152" s="2"/>
    </row>
    <row r="153" spans="1:11" x14ac:dyDescent="0.2">
      <c r="A153" s="1"/>
      <c r="G153" s="2"/>
      <c r="H153" s="1"/>
      <c r="I153" s="2"/>
      <c r="J153" s="1"/>
      <c r="K153" s="2"/>
    </row>
    <row r="154" spans="1:11" x14ac:dyDescent="0.2">
      <c r="A154" s="1"/>
      <c r="G154" s="2"/>
      <c r="H154" s="1"/>
      <c r="I154" s="2"/>
      <c r="J154" s="1"/>
      <c r="K154" s="2"/>
    </row>
    <row r="155" spans="1:11" x14ac:dyDescent="0.2">
      <c r="A155" s="1"/>
      <c r="G155" s="2"/>
      <c r="H155" s="1"/>
      <c r="I155" s="2"/>
      <c r="J155" s="1"/>
      <c r="K155" s="2"/>
    </row>
    <row r="156" spans="1:11" x14ac:dyDescent="0.2">
      <c r="A156" s="1"/>
      <c r="G156" s="2"/>
      <c r="H156" s="1"/>
      <c r="I156" s="2"/>
      <c r="J156" s="1"/>
      <c r="K156" s="2"/>
    </row>
    <row r="157" spans="1:11" x14ac:dyDescent="0.2">
      <c r="A157" s="1"/>
      <c r="G157" s="2"/>
      <c r="H157" s="1"/>
      <c r="I157" s="2"/>
      <c r="J157" s="1"/>
      <c r="K157" s="2"/>
    </row>
    <row r="158" spans="1:11" x14ac:dyDescent="0.2">
      <c r="A158" s="1"/>
      <c r="G158" s="2"/>
      <c r="H158" s="1"/>
      <c r="I158" s="2"/>
      <c r="J158" s="1"/>
      <c r="K158" s="2"/>
    </row>
    <row r="159" spans="1:11" x14ac:dyDescent="0.2">
      <c r="A159" s="1"/>
      <c r="G159" s="2"/>
      <c r="H159" s="1"/>
      <c r="I159" s="2"/>
      <c r="J159" s="1"/>
      <c r="K159" s="2"/>
    </row>
    <row r="160" spans="1:11" x14ac:dyDescent="0.2">
      <c r="A160" s="1"/>
      <c r="G160" s="2"/>
      <c r="H160" s="1"/>
      <c r="I160" s="2"/>
      <c r="J160" s="1"/>
      <c r="K160" s="2"/>
    </row>
    <row r="161" spans="1:11" x14ac:dyDescent="0.2">
      <c r="A161" s="1"/>
      <c r="G161" s="2"/>
      <c r="H161" s="1"/>
      <c r="I161" s="2"/>
      <c r="J161" s="1"/>
      <c r="K161" s="2"/>
    </row>
    <row r="162" spans="1:11" x14ac:dyDescent="0.2">
      <c r="A162" s="1"/>
      <c r="G162" s="2"/>
      <c r="H162" s="1"/>
      <c r="I162" s="2"/>
      <c r="J162" s="1"/>
      <c r="K162" s="2"/>
    </row>
    <row r="163" spans="1:11" x14ac:dyDescent="0.2">
      <c r="A163" s="1"/>
      <c r="G163" s="2"/>
      <c r="H163" s="1"/>
      <c r="I163" s="2"/>
      <c r="J163" s="1"/>
      <c r="K163" s="2"/>
    </row>
    <row r="164" spans="1:11" x14ac:dyDescent="0.2">
      <c r="A164" s="1"/>
      <c r="G164" s="2"/>
      <c r="H164" s="1"/>
      <c r="I164" s="2"/>
      <c r="J164" s="1"/>
      <c r="K164" s="2"/>
    </row>
    <row r="165" spans="1:11" x14ac:dyDescent="0.2">
      <c r="A165" s="1"/>
      <c r="G165" s="2"/>
      <c r="H165" s="1"/>
      <c r="I165" s="2"/>
      <c r="J165" s="1"/>
      <c r="K165" s="2"/>
    </row>
    <row r="166" spans="1:11" x14ac:dyDescent="0.2">
      <c r="A166" s="1"/>
      <c r="G166" s="2"/>
      <c r="H166" s="1"/>
      <c r="I166" s="2"/>
      <c r="J166" s="1"/>
      <c r="K166" s="2"/>
    </row>
    <row r="167" spans="1:11" x14ac:dyDescent="0.2">
      <c r="A167" s="1"/>
      <c r="G167" s="2"/>
      <c r="H167" s="1"/>
      <c r="I167" s="2"/>
      <c r="J167" s="1"/>
      <c r="K167" s="2"/>
    </row>
    <row r="168" spans="1:11" x14ac:dyDescent="0.2">
      <c r="A168" s="1"/>
      <c r="G168" s="2"/>
      <c r="H168" s="1"/>
      <c r="I168" s="2"/>
      <c r="J168" s="1"/>
      <c r="K168" s="2"/>
    </row>
    <row r="169" spans="1:11" x14ac:dyDescent="0.2">
      <c r="A169" s="1"/>
      <c r="G169" s="2"/>
      <c r="H169" s="1"/>
      <c r="I169" s="2"/>
      <c r="J169" s="1"/>
      <c r="K169" s="2"/>
    </row>
    <row r="170" spans="1:11" x14ac:dyDescent="0.2">
      <c r="A170" s="1"/>
      <c r="G170" s="2"/>
      <c r="H170" s="1"/>
      <c r="I170" s="2"/>
      <c r="J170" s="1"/>
      <c r="K170" s="2"/>
    </row>
    <row r="171" spans="1:11" x14ac:dyDescent="0.2">
      <c r="A171" s="1"/>
      <c r="G171" s="2"/>
      <c r="H171" s="1"/>
      <c r="I171" s="2"/>
      <c r="J171" s="1"/>
      <c r="K171" s="2"/>
    </row>
    <row r="172" spans="1:11" x14ac:dyDescent="0.2">
      <c r="A172" s="1"/>
      <c r="G172" s="2"/>
      <c r="H172" s="1"/>
      <c r="I172" s="2"/>
      <c r="J172" s="1"/>
      <c r="K172" s="2"/>
    </row>
    <row r="173" spans="1:11" x14ac:dyDescent="0.2">
      <c r="A173" s="1"/>
      <c r="G173" s="2"/>
      <c r="H173" s="1"/>
      <c r="I173" s="2"/>
      <c r="J173" s="1"/>
      <c r="K173" s="2"/>
    </row>
    <row r="174" spans="1:11" x14ac:dyDescent="0.2">
      <c r="A174" s="1"/>
      <c r="G174" s="2"/>
      <c r="H174" s="1"/>
      <c r="I174" s="2"/>
      <c r="J174" s="1"/>
      <c r="K174" s="2"/>
    </row>
    <row r="175" spans="1:11" x14ac:dyDescent="0.2">
      <c r="A175" s="1"/>
      <c r="G175" s="2"/>
      <c r="H175" s="1"/>
      <c r="I175" s="2"/>
      <c r="J175" s="1"/>
      <c r="K175" s="2"/>
    </row>
    <row r="176" spans="1:11" x14ac:dyDescent="0.2">
      <c r="A176" s="1"/>
      <c r="G176" s="2"/>
      <c r="H176" s="1"/>
      <c r="I176" s="2"/>
      <c r="J176" s="1"/>
      <c r="K176" s="2"/>
    </row>
    <row r="177" spans="1:11" x14ac:dyDescent="0.2">
      <c r="A177" s="1"/>
      <c r="G177" s="2"/>
      <c r="H177" s="1"/>
      <c r="I177" s="2"/>
      <c r="J177" s="1"/>
      <c r="K177" s="2"/>
    </row>
    <row r="178" spans="1:11" x14ac:dyDescent="0.2">
      <c r="A178" s="1"/>
      <c r="G178" s="2"/>
      <c r="H178" s="1"/>
      <c r="I178" s="2"/>
      <c r="J178" s="1"/>
      <c r="K178" s="2"/>
    </row>
    <row r="179" spans="1:11" x14ac:dyDescent="0.2">
      <c r="A179" s="1"/>
      <c r="G179" s="2"/>
      <c r="H179" s="1"/>
      <c r="I179" s="2"/>
      <c r="J179" s="1"/>
      <c r="K179" s="2"/>
    </row>
    <row r="180" spans="1:11" x14ac:dyDescent="0.2">
      <c r="A180" s="1"/>
      <c r="G180" s="2"/>
      <c r="H180" s="1"/>
      <c r="I180" s="2"/>
      <c r="J180" s="1"/>
      <c r="K180" s="2"/>
    </row>
    <row r="181" spans="1:11" x14ac:dyDescent="0.2">
      <c r="A181" s="1"/>
      <c r="G181" s="2"/>
      <c r="H181" s="1"/>
      <c r="I181" s="2"/>
      <c r="J181" s="1"/>
      <c r="K181" s="2"/>
    </row>
    <row r="182" spans="1:11" x14ac:dyDescent="0.2">
      <c r="A182" s="1"/>
      <c r="G182" s="2"/>
      <c r="H182" s="1"/>
      <c r="I182" s="2"/>
      <c r="J182" s="1"/>
      <c r="K182" s="2"/>
    </row>
    <row r="183" spans="1:11" x14ac:dyDescent="0.2">
      <c r="A183" s="1"/>
      <c r="G183" s="2"/>
      <c r="H183" s="1"/>
      <c r="I183" s="2"/>
      <c r="J183" s="1"/>
      <c r="K183" s="2"/>
    </row>
    <row r="184" spans="1:11" x14ac:dyDescent="0.2">
      <c r="A184" s="1"/>
      <c r="G184" s="2"/>
      <c r="H184" s="1"/>
      <c r="I184" s="2"/>
      <c r="J184" s="1"/>
      <c r="K184" s="2"/>
    </row>
    <row r="185" spans="1:11" x14ac:dyDescent="0.2">
      <c r="A185" s="1"/>
      <c r="G185" s="2"/>
      <c r="H185" s="1"/>
      <c r="I185" s="2"/>
      <c r="J185" s="1"/>
      <c r="K185" s="2"/>
    </row>
    <row r="186" spans="1:11" x14ac:dyDescent="0.2">
      <c r="A186" s="1"/>
      <c r="G186" s="2"/>
      <c r="H186" s="1"/>
      <c r="I186" s="2"/>
      <c r="J186" s="1"/>
      <c r="K186" s="2"/>
    </row>
    <row r="187" spans="1:11" x14ac:dyDescent="0.2">
      <c r="A187" s="1"/>
      <c r="G187" s="2"/>
      <c r="H187" s="1"/>
      <c r="I187" s="2"/>
      <c r="J187" s="1"/>
      <c r="K187" s="2"/>
    </row>
    <row r="188" spans="1:11" x14ac:dyDescent="0.2">
      <c r="A188" s="1"/>
      <c r="G188" s="2"/>
      <c r="H188" s="1"/>
      <c r="I188" s="2"/>
      <c r="J188" s="1"/>
      <c r="K188" s="2"/>
    </row>
    <row r="189" spans="1:11" x14ac:dyDescent="0.2">
      <c r="A189" s="1"/>
      <c r="G189" s="2"/>
      <c r="H189" s="1"/>
      <c r="I189" s="2"/>
      <c r="J189" s="1"/>
      <c r="K189" s="2"/>
    </row>
    <row r="190" spans="1:11" x14ac:dyDescent="0.2">
      <c r="A190" s="1"/>
      <c r="G190" s="2"/>
      <c r="H190" s="1"/>
      <c r="I190" s="2"/>
      <c r="J190" s="1"/>
      <c r="K190" s="2"/>
    </row>
    <row r="191" spans="1:11" x14ac:dyDescent="0.2">
      <c r="A191" s="1"/>
      <c r="G191" s="2"/>
      <c r="H191" s="1"/>
      <c r="I191" s="2"/>
      <c r="J191" s="1"/>
      <c r="K191" s="2"/>
    </row>
    <row r="192" spans="1:11" x14ac:dyDescent="0.2">
      <c r="A192" s="1"/>
      <c r="G192" s="2"/>
      <c r="H192" s="1"/>
      <c r="I192" s="2"/>
      <c r="J192" s="1"/>
      <c r="K192" s="2"/>
    </row>
    <row r="193" spans="1:11" x14ac:dyDescent="0.2">
      <c r="A193" s="1"/>
      <c r="G193" s="2"/>
      <c r="H193" s="1"/>
      <c r="I193" s="2"/>
      <c r="J193" s="1"/>
      <c r="K193" s="2"/>
    </row>
    <row r="194" spans="1:11" x14ac:dyDescent="0.2">
      <c r="A194" s="1"/>
      <c r="G194" s="2"/>
      <c r="H194" s="1"/>
      <c r="I194" s="2"/>
      <c r="J194" s="1"/>
      <c r="K194" s="2"/>
    </row>
    <row r="195" spans="1:11" x14ac:dyDescent="0.2">
      <c r="A195" s="1"/>
      <c r="G195" s="2"/>
      <c r="H195" s="1"/>
      <c r="I195" s="2"/>
      <c r="J195" s="1"/>
      <c r="K195" s="2"/>
    </row>
    <row r="196" spans="1:11" x14ac:dyDescent="0.2">
      <c r="A196" s="1"/>
      <c r="G196" s="2"/>
      <c r="H196" s="1"/>
      <c r="I196" s="2"/>
      <c r="J196" s="1"/>
      <c r="K196" s="2"/>
    </row>
    <row r="197" spans="1:11" x14ac:dyDescent="0.2">
      <c r="A197" s="1"/>
      <c r="G197" s="2"/>
      <c r="H197" s="1"/>
      <c r="I197" s="2"/>
      <c r="J197" s="1"/>
      <c r="K197" s="2"/>
    </row>
    <row r="198" spans="1:11" x14ac:dyDescent="0.2">
      <c r="A198" s="1"/>
      <c r="G198" s="2"/>
      <c r="H198" s="1"/>
      <c r="I198" s="2"/>
      <c r="J198" s="1"/>
      <c r="K198" s="2"/>
    </row>
    <row r="199" spans="1:11" x14ac:dyDescent="0.2">
      <c r="A199" s="1"/>
      <c r="G199" s="2"/>
      <c r="H199" s="1"/>
      <c r="I199" s="2"/>
      <c r="J199" s="1"/>
      <c r="K199" s="2"/>
    </row>
    <row r="200" spans="1:11" x14ac:dyDescent="0.2">
      <c r="A200" s="1"/>
      <c r="G200" s="2"/>
      <c r="H200" s="1"/>
      <c r="I200" s="2"/>
      <c r="J200" s="1"/>
      <c r="K200" s="2"/>
    </row>
    <row r="201" spans="1:11" x14ac:dyDescent="0.2">
      <c r="A201" s="1"/>
      <c r="G201" s="2"/>
      <c r="H201" s="1"/>
      <c r="I201" s="2"/>
      <c r="J201" s="1"/>
      <c r="K201" s="2"/>
    </row>
    <row r="202" spans="1:11" x14ac:dyDescent="0.2">
      <c r="A202" s="1"/>
      <c r="G202" s="2"/>
      <c r="H202" s="1"/>
      <c r="I202" s="2"/>
      <c r="J202" s="1"/>
      <c r="K202" s="2"/>
    </row>
    <row r="203" spans="1:11" x14ac:dyDescent="0.2">
      <c r="A203" s="1"/>
      <c r="G203" s="2"/>
      <c r="H203" s="1"/>
      <c r="I203" s="2"/>
      <c r="J203" s="1"/>
      <c r="K203" s="2"/>
    </row>
    <row r="204" spans="1:11" x14ac:dyDescent="0.2">
      <c r="A204" s="1"/>
      <c r="G204" s="2"/>
      <c r="H204" s="1"/>
      <c r="I204" s="2"/>
      <c r="J204" s="1"/>
      <c r="K204" s="2"/>
    </row>
    <row r="205" spans="1:11" x14ac:dyDescent="0.2">
      <c r="A205" s="1"/>
      <c r="G205" s="2"/>
      <c r="H205" s="1"/>
      <c r="I205" s="2"/>
      <c r="J205" s="1"/>
      <c r="K205" s="2"/>
    </row>
    <row r="206" spans="1:11" x14ac:dyDescent="0.2">
      <c r="A206" s="1"/>
      <c r="G206" s="2"/>
      <c r="H206" s="1"/>
      <c r="I206" s="2"/>
      <c r="J206" s="1"/>
      <c r="K206" s="2"/>
    </row>
    <row r="207" spans="1:11" x14ac:dyDescent="0.2">
      <c r="A207" s="1"/>
      <c r="G207" s="2"/>
      <c r="H207" s="1"/>
      <c r="I207" s="2"/>
      <c r="J207" s="1"/>
      <c r="K207" s="2"/>
    </row>
    <row r="208" spans="1:11" x14ac:dyDescent="0.2">
      <c r="A208" s="1"/>
      <c r="G208" s="2"/>
      <c r="H208" s="1"/>
      <c r="I208" s="2"/>
      <c r="J208" s="1"/>
      <c r="K208" s="2"/>
    </row>
    <row r="209" spans="1:11" x14ac:dyDescent="0.2">
      <c r="A209" s="1"/>
      <c r="G209" s="2"/>
      <c r="H209" s="1"/>
      <c r="I209" s="2"/>
      <c r="J209" s="1"/>
      <c r="K209" s="2"/>
    </row>
    <row r="210" spans="1:11" x14ac:dyDescent="0.2">
      <c r="A210" s="1"/>
      <c r="G210" s="2"/>
      <c r="H210" s="1"/>
      <c r="I210" s="2"/>
      <c r="J210" s="1"/>
      <c r="K210" s="2"/>
    </row>
    <row r="211" spans="1:11" x14ac:dyDescent="0.2">
      <c r="A211" s="1"/>
      <c r="G211" s="2"/>
      <c r="H211" s="1"/>
      <c r="I211" s="2"/>
      <c r="J211" s="1"/>
      <c r="K211" s="2"/>
    </row>
    <row r="212" spans="1:11" x14ac:dyDescent="0.2">
      <c r="A212" s="1"/>
      <c r="G212" s="2"/>
      <c r="H212" s="1"/>
      <c r="I212" s="2"/>
      <c r="J212" s="1"/>
      <c r="K212" s="2"/>
    </row>
    <row r="213" spans="1:11" x14ac:dyDescent="0.2">
      <c r="A213" s="1"/>
      <c r="G213" s="2"/>
      <c r="H213" s="1"/>
      <c r="I213" s="2"/>
      <c r="J213" s="1"/>
      <c r="K213" s="2"/>
    </row>
    <row r="214" spans="1:11" x14ac:dyDescent="0.2">
      <c r="A214" s="1"/>
      <c r="G214" s="2"/>
      <c r="H214" s="1"/>
      <c r="I214" s="2"/>
      <c r="J214" s="1"/>
      <c r="K214" s="2"/>
    </row>
    <row r="215" spans="1:11" x14ac:dyDescent="0.2">
      <c r="A215" s="1"/>
      <c r="G215" s="2"/>
      <c r="H215" s="1"/>
      <c r="I215" s="2"/>
      <c r="J215" s="1"/>
      <c r="K215" s="2"/>
    </row>
    <row r="216" spans="1:11" x14ac:dyDescent="0.2">
      <c r="A216" s="1"/>
      <c r="G216" s="2"/>
      <c r="H216" s="1"/>
      <c r="I216" s="2"/>
      <c r="J216" s="1"/>
      <c r="K216" s="2"/>
    </row>
    <row r="217" spans="1:11" x14ac:dyDescent="0.2">
      <c r="A217" s="1"/>
      <c r="G217" s="2"/>
      <c r="H217" s="1"/>
      <c r="I217" s="2"/>
      <c r="J217" s="1"/>
      <c r="K217" s="2"/>
    </row>
    <row r="218" spans="1:11" x14ac:dyDescent="0.2">
      <c r="A218" s="1"/>
      <c r="G218" s="2"/>
      <c r="H218" s="1"/>
      <c r="I218" s="2"/>
      <c r="J218" s="1"/>
      <c r="K218" s="2"/>
    </row>
    <row r="219" spans="1:11" x14ac:dyDescent="0.2">
      <c r="A219" s="1"/>
      <c r="G219" s="2"/>
      <c r="H219" s="1"/>
      <c r="I219" s="2"/>
      <c r="J219" s="1"/>
      <c r="K219" s="2"/>
    </row>
    <row r="220" spans="1:11" x14ac:dyDescent="0.2">
      <c r="A220" s="1"/>
      <c r="G220" s="2"/>
      <c r="H220" s="1"/>
      <c r="I220" s="2"/>
      <c r="J220" s="1"/>
      <c r="K220" s="2"/>
    </row>
    <row r="221" spans="1:11" x14ac:dyDescent="0.2">
      <c r="A221" s="1"/>
      <c r="G221" s="2"/>
      <c r="H221" s="1"/>
      <c r="I221" s="2"/>
      <c r="J221" s="1"/>
      <c r="K221" s="2"/>
    </row>
    <row r="222" spans="1:11" x14ac:dyDescent="0.2">
      <c r="A222" s="1"/>
      <c r="G222" s="2"/>
      <c r="H222" s="1"/>
      <c r="I222" s="2"/>
      <c r="J222" s="1"/>
      <c r="K222" s="2"/>
    </row>
    <row r="223" spans="1:11" x14ac:dyDescent="0.2">
      <c r="A223" s="1"/>
      <c r="G223" s="2"/>
      <c r="H223" s="1"/>
      <c r="I223" s="2"/>
      <c r="J223" s="1"/>
      <c r="K223" s="2"/>
    </row>
    <row r="224" spans="1:11" x14ac:dyDescent="0.2">
      <c r="A224" s="1"/>
      <c r="G224" s="2"/>
      <c r="H224" s="1"/>
      <c r="I224" s="2"/>
      <c r="J224" s="1"/>
      <c r="K224" s="2"/>
    </row>
    <row r="225" spans="1:11" x14ac:dyDescent="0.2">
      <c r="A225" s="1"/>
      <c r="G225" s="2"/>
      <c r="H225" s="1"/>
      <c r="I225" s="2"/>
      <c r="J225" s="1"/>
      <c r="K225" s="2"/>
    </row>
    <row r="226" spans="1:11" x14ac:dyDescent="0.2">
      <c r="A226" s="1"/>
      <c r="G226" s="2"/>
      <c r="H226" s="1"/>
      <c r="I226" s="2"/>
      <c r="J226" s="1"/>
      <c r="K226" s="2"/>
    </row>
    <row r="227" spans="1:11" x14ac:dyDescent="0.2">
      <c r="A227" s="1"/>
      <c r="G227" s="2"/>
      <c r="H227" s="1"/>
      <c r="I227" s="2"/>
      <c r="J227" s="1"/>
      <c r="K227" s="2"/>
    </row>
    <row r="228" spans="1:11" x14ac:dyDescent="0.2">
      <c r="A228" s="1"/>
      <c r="G228" s="2"/>
      <c r="H228" s="1"/>
      <c r="I228" s="2"/>
      <c r="J228" s="1"/>
      <c r="K228" s="2"/>
    </row>
    <row r="229" spans="1:11" x14ac:dyDescent="0.2">
      <c r="A229" s="1"/>
      <c r="G229" s="2"/>
      <c r="H229" s="1"/>
      <c r="I229" s="2"/>
      <c r="J229" s="1"/>
      <c r="K229" s="2"/>
    </row>
    <row r="230" spans="1:11" x14ac:dyDescent="0.2">
      <c r="A230" s="1"/>
      <c r="G230" s="2"/>
      <c r="H230" s="1"/>
      <c r="I230" s="2"/>
      <c r="J230" s="1"/>
      <c r="K230" s="2"/>
    </row>
    <row r="231" spans="1:11" x14ac:dyDescent="0.2">
      <c r="A231" s="1"/>
      <c r="G231" s="2"/>
      <c r="H231" s="1"/>
      <c r="I231" s="2"/>
      <c r="J231" s="1"/>
      <c r="K231" s="2"/>
    </row>
    <row r="232" spans="1:11" x14ac:dyDescent="0.2">
      <c r="A232" s="1"/>
      <c r="G232" s="2"/>
      <c r="H232" s="1"/>
      <c r="I232" s="2"/>
      <c r="J232" s="1"/>
      <c r="K232" s="2"/>
    </row>
    <row r="233" spans="1:11" x14ac:dyDescent="0.2">
      <c r="A233" s="1"/>
      <c r="G233" s="2"/>
      <c r="H233" s="1"/>
      <c r="I233" s="2"/>
      <c r="J233" s="1"/>
      <c r="K233" s="2"/>
    </row>
    <row r="234" spans="1:11" x14ac:dyDescent="0.2">
      <c r="A234" s="1"/>
      <c r="G234" s="2"/>
      <c r="H234" s="1"/>
      <c r="I234" s="2"/>
      <c r="J234" s="1"/>
      <c r="K234" s="2"/>
    </row>
    <row r="235" spans="1:11" x14ac:dyDescent="0.2">
      <c r="A235" s="1"/>
      <c r="G235" s="2"/>
      <c r="H235" s="1"/>
      <c r="I235" s="2"/>
      <c r="J235" s="1"/>
      <c r="K235" s="2"/>
    </row>
    <row r="236" spans="1:11" x14ac:dyDescent="0.2">
      <c r="A236" s="1"/>
      <c r="G236" s="2"/>
      <c r="H236" s="1"/>
      <c r="I236" s="2"/>
      <c r="J236" s="1"/>
      <c r="K236" s="2"/>
    </row>
    <row r="237" spans="1:11" x14ac:dyDescent="0.2">
      <c r="A237" s="1"/>
      <c r="G237" s="2"/>
      <c r="H237" s="1"/>
      <c r="I237" s="2"/>
      <c r="J237" s="1"/>
      <c r="K237" s="2"/>
    </row>
    <row r="238" spans="1:11" x14ac:dyDescent="0.2">
      <c r="A238" s="1"/>
      <c r="G238" s="2"/>
      <c r="H238" s="1"/>
      <c r="I238" s="2"/>
      <c r="J238" s="1"/>
      <c r="K238" s="2"/>
    </row>
    <row r="239" spans="1:11" x14ac:dyDescent="0.2">
      <c r="A239" s="1"/>
      <c r="G239" s="2"/>
      <c r="H239" s="1"/>
      <c r="I239" s="2"/>
      <c r="J239" s="1"/>
      <c r="K239" s="2"/>
    </row>
    <row r="240" spans="1:11" x14ac:dyDescent="0.2">
      <c r="A240" s="1"/>
      <c r="G240" s="2"/>
      <c r="H240" s="1"/>
      <c r="I240" s="2"/>
      <c r="J240" s="1"/>
      <c r="K240" s="2"/>
    </row>
    <row r="241" spans="1:11" x14ac:dyDescent="0.2">
      <c r="A241" s="1"/>
      <c r="G241" s="2"/>
      <c r="H241" s="1"/>
      <c r="I241" s="2"/>
      <c r="J241" s="1"/>
      <c r="K241" s="2"/>
    </row>
    <row r="242" spans="1:11" x14ac:dyDescent="0.2">
      <c r="A242" s="1"/>
      <c r="G242" s="2"/>
      <c r="H242" s="1"/>
      <c r="I242" s="2"/>
      <c r="J242" s="1"/>
      <c r="K242" s="2"/>
    </row>
    <row r="243" spans="1:11" x14ac:dyDescent="0.2">
      <c r="A243" s="1"/>
      <c r="G243" s="2"/>
      <c r="H243" s="1"/>
      <c r="I243" s="2"/>
      <c r="J243" s="1"/>
      <c r="K243" s="2"/>
    </row>
    <row r="244" spans="1:11" x14ac:dyDescent="0.2">
      <c r="A244" s="1"/>
      <c r="G244" s="2"/>
      <c r="H244" s="1"/>
      <c r="I244" s="2"/>
      <c r="J244" s="1"/>
      <c r="K244" s="2"/>
    </row>
    <row r="245" spans="1:11" x14ac:dyDescent="0.2">
      <c r="A245" s="1"/>
      <c r="G245" s="2"/>
      <c r="H245" s="1"/>
      <c r="I245" s="2"/>
      <c r="J245" s="1"/>
      <c r="K245" s="2"/>
    </row>
    <row r="246" spans="1:11" x14ac:dyDescent="0.2">
      <c r="A246" s="1"/>
      <c r="G246" s="2"/>
      <c r="H246" s="1"/>
      <c r="I246" s="2"/>
      <c r="J246" s="1"/>
      <c r="K246" s="2"/>
    </row>
    <row r="247" spans="1:11" x14ac:dyDescent="0.2">
      <c r="A247" s="1"/>
      <c r="G247" s="2"/>
      <c r="H247" s="1"/>
      <c r="I247" s="2"/>
      <c r="J247" s="1"/>
      <c r="K247" s="2"/>
    </row>
    <row r="248" spans="1:11" x14ac:dyDescent="0.2">
      <c r="A248" s="1"/>
      <c r="G248" s="2"/>
      <c r="H248" s="1"/>
      <c r="I248" s="2"/>
      <c r="J248" s="1"/>
      <c r="K248" s="2"/>
    </row>
    <row r="249" spans="1:11" x14ac:dyDescent="0.2">
      <c r="A249" s="1"/>
      <c r="G249" s="2"/>
      <c r="H249" s="1"/>
      <c r="I249" s="2"/>
      <c r="J249" s="1"/>
      <c r="K249" s="2"/>
    </row>
    <row r="250" spans="1:11" x14ac:dyDescent="0.2">
      <c r="A250" s="1"/>
      <c r="G250" s="2"/>
      <c r="H250" s="1"/>
      <c r="I250" s="2"/>
      <c r="J250" s="1"/>
      <c r="K250" s="2"/>
    </row>
    <row r="251" spans="1:11" x14ac:dyDescent="0.2">
      <c r="A251" s="1"/>
      <c r="G251" s="2"/>
      <c r="H251" s="1"/>
      <c r="I251" s="2"/>
      <c r="J251" s="1"/>
      <c r="K251" s="2"/>
    </row>
    <row r="252" spans="1:11" x14ac:dyDescent="0.2">
      <c r="A252" s="1"/>
      <c r="G252" s="2"/>
      <c r="H252" s="1"/>
      <c r="I252" s="2"/>
      <c r="J252" s="1"/>
      <c r="K252" s="2"/>
    </row>
    <row r="253" spans="1:11" x14ac:dyDescent="0.2">
      <c r="A253" s="1"/>
      <c r="G253" s="2"/>
      <c r="H253" s="1"/>
      <c r="I253" s="2"/>
      <c r="J253" s="1"/>
      <c r="K253" s="2"/>
    </row>
    <row r="254" spans="1:11" x14ac:dyDescent="0.2">
      <c r="A254" s="1"/>
      <c r="G254" s="2"/>
      <c r="H254" s="1"/>
      <c r="I254" s="2"/>
      <c r="J254" s="1"/>
      <c r="K254" s="2"/>
    </row>
    <row r="255" spans="1:11" x14ac:dyDescent="0.2">
      <c r="A255" s="1"/>
      <c r="G255" s="2"/>
      <c r="H255" s="1"/>
      <c r="I255" s="2"/>
      <c r="J255" s="1"/>
      <c r="K255" s="2"/>
    </row>
    <row r="256" spans="1:11" x14ac:dyDescent="0.2">
      <c r="A256" s="1"/>
      <c r="G256" s="2"/>
      <c r="H256" s="1"/>
      <c r="I256" s="2"/>
      <c r="J256" s="1"/>
      <c r="K256" s="2"/>
    </row>
    <row r="257" spans="1:11" x14ac:dyDescent="0.2">
      <c r="A257" s="1"/>
      <c r="G257" s="2"/>
      <c r="H257" s="1"/>
      <c r="I257" s="2"/>
      <c r="J257" s="1"/>
      <c r="K257" s="2"/>
    </row>
    <row r="258" spans="1:11" x14ac:dyDescent="0.2">
      <c r="A258" s="1"/>
      <c r="G258" s="2"/>
      <c r="H258" s="1"/>
      <c r="I258" s="2"/>
      <c r="J258" s="1"/>
      <c r="K258" s="2"/>
    </row>
    <row r="259" spans="1:11" x14ac:dyDescent="0.2">
      <c r="A259" s="1"/>
      <c r="G259" s="2"/>
      <c r="H259" s="1"/>
      <c r="I259" s="2"/>
      <c r="J259" s="1"/>
      <c r="K259" s="2"/>
    </row>
    <row r="260" spans="1:11" x14ac:dyDescent="0.2">
      <c r="A260" s="1"/>
      <c r="G260" s="2"/>
      <c r="H260" s="1"/>
      <c r="I260" s="2"/>
      <c r="J260" s="1"/>
      <c r="K260" s="2"/>
    </row>
    <row r="261" spans="1:11" x14ac:dyDescent="0.2">
      <c r="A261" s="1"/>
      <c r="G261" s="2"/>
      <c r="H261" s="1"/>
      <c r="I261" s="2"/>
      <c r="J261" s="1"/>
      <c r="K261" s="2"/>
    </row>
    <row r="262" spans="1:11" x14ac:dyDescent="0.2">
      <c r="A262" s="1"/>
      <c r="G262" s="2"/>
      <c r="H262" s="1"/>
      <c r="I262" s="2"/>
      <c r="J262" s="1"/>
      <c r="K262" s="2"/>
    </row>
    <row r="263" spans="1:11" x14ac:dyDescent="0.2">
      <c r="A263" s="1"/>
      <c r="G263" s="2"/>
      <c r="H263" s="1"/>
      <c r="I263" s="2"/>
      <c r="J263" s="1"/>
      <c r="K263" s="2"/>
    </row>
    <row r="264" spans="1:11" x14ac:dyDescent="0.2">
      <c r="A264" s="1"/>
      <c r="G264" s="2"/>
      <c r="H264" s="1"/>
      <c r="I264" s="2"/>
      <c r="J264" s="1"/>
      <c r="K264" s="2"/>
    </row>
    <row r="265" spans="1:11" x14ac:dyDescent="0.2">
      <c r="A265" s="1"/>
      <c r="G265" s="2"/>
      <c r="H265" s="1"/>
      <c r="I265" s="2"/>
      <c r="J265" s="1"/>
      <c r="K265" s="2"/>
    </row>
    <row r="266" spans="1:11" x14ac:dyDescent="0.2">
      <c r="A266" s="1"/>
      <c r="G266" s="2"/>
      <c r="H266" s="1"/>
      <c r="I266" s="2"/>
      <c r="J266" s="1"/>
      <c r="K266" s="2"/>
    </row>
    <row r="267" spans="1:11" x14ac:dyDescent="0.2">
      <c r="A267" s="1"/>
      <c r="G267" s="2"/>
      <c r="H267" s="1"/>
      <c r="I267" s="2"/>
      <c r="J267" s="1"/>
      <c r="K267" s="2"/>
    </row>
    <row r="268" spans="1:11" x14ac:dyDescent="0.2">
      <c r="A268" s="1"/>
      <c r="G268" s="2"/>
      <c r="H268" s="1"/>
      <c r="I268" s="2"/>
      <c r="J268" s="1"/>
      <c r="K268" s="2"/>
    </row>
    <row r="269" spans="1:11" x14ac:dyDescent="0.2">
      <c r="A269" s="1"/>
      <c r="G269" s="2"/>
      <c r="H269" s="1"/>
      <c r="I269" s="2"/>
      <c r="J269" s="1"/>
      <c r="K269" s="2"/>
    </row>
    <row r="270" spans="1:11" x14ac:dyDescent="0.2">
      <c r="A270" s="1"/>
      <c r="G270" s="2"/>
      <c r="H270" s="1"/>
      <c r="I270" s="2"/>
      <c r="J270" s="1"/>
      <c r="K270" s="2"/>
    </row>
    <row r="271" spans="1:11" x14ac:dyDescent="0.2">
      <c r="A271" s="1"/>
      <c r="G271" s="2"/>
      <c r="H271" s="1"/>
      <c r="I271" s="2"/>
      <c r="J271" s="1"/>
      <c r="K271" s="2"/>
    </row>
    <row r="272" spans="1:11" x14ac:dyDescent="0.2">
      <c r="A272" s="1"/>
      <c r="G272" s="2"/>
      <c r="H272" s="1"/>
      <c r="I272" s="2"/>
      <c r="J272" s="1"/>
      <c r="K272" s="2"/>
    </row>
    <row r="273" spans="1:11" x14ac:dyDescent="0.2">
      <c r="A273" s="1"/>
      <c r="G273" s="2"/>
      <c r="H273" s="1"/>
      <c r="I273" s="2"/>
      <c r="J273" s="1"/>
      <c r="K273" s="2"/>
    </row>
    <row r="274" spans="1:11" x14ac:dyDescent="0.2">
      <c r="A274" s="1"/>
      <c r="G274" s="2"/>
      <c r="H274" s="1"/>
      <c r="I274" s="2"/>
      <c r="J274" s="1"/>
      <c r="K274" s="2"/>
    </row>
    <row r="275" spans="1:11" x14ac:dyDescent="0.2">
      <c r="A275" s="1"/>
      <c r="G275" s="2"/>
      <c r="H275" s="1"/>
      <c r="I275" s="2"/>
      <c r="J275" s="1"/>
      <c r="K275" s="2"/>
    </row>
    <row r="276" spans="1:11" x14ac:dyDescent="0.2">
      <c r="A276" s="1"/>
      <c r="G276" s="2"/>
      <c r="H276" s="1"/>
      <c r="I276" s="2"/>
      <c r="J276" s="1"/>
      <c r="K276" s="2"/>
    </row>
    <row r="277" spans="1:11" x14ac:dyDescent="0.2">
      <c r="A277" s="1"/>
      <c r="G277" s="2"/>
      <c r="H277" s="1"/>
      <c r="I277" s="2"/>
      <c r="J277" s="1"/>
      <c r="K277" s="2"/>
    </row>
    <row r="278" spans="1:11" x14ac:dyDescent="0.2">
      <c r="A278" s="1"/>
      <c r="G278" s="2"/>
      <c r="H278" s="1"/>
      <c r="I278" s="2"/>
      <c r="J278" s="1"/>
      <c r="K278" s="2"/>
    </row>
    <row r="279" spans="1:11" x14ac:dyDescent="0.2">
      <c r="A279" s="1"/>
      <c r="G279" s="2"/>
      <c r="H279" s="1"/>
      <c r="I279" s="2"/>
      <c r="J279" s="1"/>
      <c r="K279" s="2"/>
    </row>
    <row r="280" spans="1:11" x14ac:dyDescent="0.2">
      <c r="A280" s="1"/>
      <c r="G280" s="2"/>
      <c r="H280" s="1"/>
      <c r="I280" s="2"/>
      <c r="J280" s="1"/>
      <c r="K280" s="2"/>
    </row>
    <row r="281" spans="1:11" x14ac:dyDescent="0.2">
      <c r="A281" s="1"/>
      <c r="G281" s="2"/>
      <c r="H281" s="1"/>
      <c r="I281" s="2"/>
      <c r="J281" s="1"/>
      <c r="K281" s="2"/>
    </row>
    <row r="282" spans="1:11" x14ac:dyDescent="0.2">
      <c r="A282" s="1"/>
      <c r="G282" s="2"/>
      <c r="H282" s="1"/>
      <c r="I282" s="2"/>
      <c r="J282" s="1"/>
      <c r="K282" s="2"/>
    </row>
    <row r="283" spans="1:11" x14ac:dyDescent="0.2">
      <c r="A283" s="1"/>
      <c r="G283" s="2"/>
      <c r="H283" s="1"/>
      <c r="I283" s="2"/>
      <c r="J283" s="1"/>
      <c r="K283" s="2"/>
    </row>
    <row r="284" spans="1:11" x14ac:dyDescent="0.2">
      <c r="A284" s="1"/>
      <c r="G284" s="2"/>
      <c r="H284" s="1"/>
      <c r="I284" s="2"/>
      <c r="J284" s="1"/>
      <c r="K284" s="2"/>
    </row>
    <row r="285" spans="1:11" x14ac:dyDescent="0.2">
      <c r="A285" s="1"/>
      <c r="G285" s="2"/>
      <c r="H285" s="1"/>
      <c r="I285" s="2"/>
      <c r="J285" s="1"/>
      <c r="K285" s="2"/>
    </row>
    <row r="286" spans="1:11" x14ac:dyDescent="0.2">
      <c r="A286" s="1"/>
      <c r="G286" s="2"/>
      <c r="H286" s="1"/>
      <c r="I286" s="2"/>
      <c r="J286" s="1"/>
      <c r="K286" s="2"/>
    </row>
    <row r="287" spans="1:11" x14ac:dyDescent="0.2">
      <c r="A287" s="1"/>
      <c r="G287" s="2"/>
      <c r="H287" s="1"/>
      <c r="I287" s="2"/>
      <c r="J287" s="1"/>
      <c r="K287" s="2"/>
    </row>
    <row r="288" spans="1:11" x14ac:dyDescent="0.2">
      <c r="A288" s="1"/>
      <c r="G288" s="2"/>
      <c r="H288" s="1"/>
      <c r="I288" s="2"/>
      <c r="J288" s="1"/>
      <c r="K288" s="2"/>
    </row>
    <row r="289" spans="1:11" x14ac:dyDescent="0.2">
      <c r="A289" s="1"/>
      <c r="G289" s="2"/>
      <c r="H289" s="1"/>
      <c r="I289" s="2"/>
      <c r="J289" s="1"/>
      <c r="K289" s="2"/>
    </row>
    <row r="290" spans="1:11" x14ac:dyDescent="0.2">
      <c r="A290" s="1"/>
      <c r="G290" s="2"/>
      <c r="H290" s="1"/>
      <c r="I290" s="2"/>
      <c r="J290" s="1"/>
      <c r="K290" s="2"/>
    </row>
    <row r="291" spans="1:11" x14ac:dyDescent="0.2">
      <c r="A291" s="1"/>
      <c r="G291" s="2"/>
      <c r="H291" s="1"/>
      <c r="I291" s="2"/>
      <c r="J291" s="1"/>
      <c r="K291" s="2"/>
    </row>
    <row r="292" spans="1:11" x14ac:dyDescent="0.2">
      <c r="A292" s="1"/>
      <c r="G292" s="2"/>
      <c r="H292" s="1"/>
      <c r="I292" s="2"/>
      <c r="J292" s="1"/>
      <c r="K292" s="2"/>
    </row>
    <row r="293" spans="1:11" x14ac:dyDescent="0.2">
      <c r="A293" s="1"/>
      <c r="G293" s="2"/>
      <c r="H293" s="1"/>
      <c r="I293" s="2"/>
      <c r="J293" s="1"/>
      <c r="K293" s="2"/>
    </row>
    <row r="294" spans="1:11" x14ac:dyDescent="0.2">
      <c r="A294" s="1"/>
      <c r="G294" s="2"/>
      <c r="H294" s="1"/>
      <c r="I294" s="2"/>
      <c r="J294" s="1"/>
      <c r="K294" s="2"/>
    </row>
    <row r="295" spans="1:11" x14ac:dyDescent="0.2">
      <c r="A295" s="1"/>
      <c r="G295" s="2"/>
      <c r="H295" s="1"/>
      <c r="I295" s="2"/>
      <c r="J295" s="1"/>
      <c r="K295" s="2"/>
    </row>
    <row r="296" spans="1:11" x14ac:dyDescent="0.2">
      <c r="A296" s="1"/>
      <c r="G296" s="2"/>
      <c r="H296" s="1"/>
      <c r="I296" s="2"/>
      <c r="J296" s="1"/>
      <c r="K296" s="2"/>
    </row>
    <row r="297" spans="1:11" x14ac:dyDescent="0.2">
      <c r="A297" s="1"/>
      <c r="G297" s="2"/>
      <c r="H297" s="1"/>
      <c r="I297" s="2"/>
      <c r="J297" s="1"/>
      <c r="K297" s="2"/>
    </row>
    <row r="298" spans="1:11" x14ac:dyDescent="0.2">
      <c r="A298" s="1"/>
      <c r="G298" s="2"/>
      <c r="H298" s="1"/>
      <c r="I298" s="2"/>
      <c r="J298" s="1"/>
      <c r="K298" s="2"/>
    </row>
    <row r="299" spans="1:11" x14ac:dyDescent="0.2">
      <c r="A299" s="1"/>
      <c r="G299" s="2"/>
      <c r="H299" s="1"/>
      <c r="I299" s="2"/>
      <c r="J299" s="1"/>
      <c r="K299" s="2"/>
    </row>
    <row r="300" spans="1:11" x14ac:dyDescent="0.2">
      <c r="A300" s="1"/>
      <c r="G300" s="2"/>
      <c r="H300" s="1"/>
      <c r="I300" s="2"/>
      <c r="J300" s="1"/>
      <c r="K300" s="2"/>
    </row>
    <row r="301" spans="1:11" x14ac:dyDescent="0.2">
      <c r="A301" s="1"/>
      <c r="G301" s="2"/>
      <c r="H301" s="1"/>
      <c r="I301" s="2"/>
      <c r="J301" s="1"/>
      <c r="K301" s="2"/>
    </row>
    <row r="302" spans="1:11" x14ac:dyDescent="0.2">
      <c r="A302" s="1"/>
      <c r="G302" s="2"/>
      <c r="H302" s="1"/>
      <c r="I302" s="2"/>
      <c r="J302" s="1"/>
      <c r="K302" s="2"/>
    </row>
    <row r="303" spans="1:11" x14ac:dyDescent="0.2">
      <c r="A303" s="1"/>
      <c r="G303" s="2"/>
      <c r="H303" s="1"/>
      <c r="I303" s="2"/>
      <c r="J303" s="1"/>
      <c r="K303" s="2"/>
    </row>
    <row r="304" spans="1:11" x14ac:dyDescent="0.2">
      <c r="A304" s="1"/>
      <c r="G304" s="2"/>
      <c r="H304" s="1"/>
      <c r="I304" s="2"/>
      <c r="J304" s="1"/>
      <c r="K304" s="2"/>
    </row>
    <row r="305" spans="1:11" x14ac:dyDescent="0.2">
      <c r="A305" s="1"/>
      <c r="G305" s="2"/>
      <c r="H305" s="1"/>
      <c r="I305" s="2"/>
      <c r="J305" s="1"/>
      <c r="K305" s="2"/>
    </row>
    <row r="306" spans="1:11" x14ac:dyDescent="0.2">
      <c r="A306" s="1"/>
      <c r="G306" s="2"/>
      <c r="H306" s="1"/>
      <c r="I306" s="2"/>
      <c r="J306" s="1"/>
      <c r="K306" s="2"/>
    </row>
    <row r="307" spans="1:11" x14ac:dyDescent="0.2">
      <c r="A307" s="1"/>
      <c r="G307" s="2"/>
      <c r="H307" s="1"/>
      <c r="I307" s="2"/>
      <c r="J307" s="1"/>
      <c r="K307" s="2"/>
    </row>
    <row r="308" spans="1:11" x14ac:dyDescent="0.2">
      <c r="A308" s="1"/>
      <c r="G308" s="2"/>
      <c r="H308" s="1"/>
      <c r="I308" s="2"/>
      <c r="J308" s="1"/>
      <c r="K308" s="2"/>
    </row>
    <row r="309" spans="1:11" x14ac:dyDescent="0.2">
      <c r="A309" s="1"/>
      <c r="G309" s="2"/>
      <c r="H309" s="1"/>
      <c r="I309" s="2"/>
      <c r="J309" s="1"/>
      <c r="K309" s="2"/>
    </row>
    <row r="310" spans="1:11" x14ac:dyDescent="0.2">
      <c r="A310" s="1"/>
      <c r="G310" s="2"/>
      <c r="H310" s="1"/>
      <c r="I310" s="2"/>
      <c r="J310" s="1"/>
      <c r="K310" s="2"/>
    </row>
    <row r="311" spans="1:11" x14ac:dyDescent="0.2">
      <c r="A311" s="1"/>
      <c r="G311" s="2"/>
      <c r="H311" s="1"/>
      <c r="I311" s="2"/>
      <c r="J311" s="1"/>
      <c r="K311" s="2"/>
    </row>
    <row r="312" spans="1:11" x14ac:dyDescent="0.2">
      <c r="A312" s="1"/>
      <c r="G312" s="2"/>
      <c r="H312" s="1"/>
      <c r="I312" s="2"/>
      <c r="J312" s="1"/>
      <c r="K312" s="2"/>
    </row>
    <row r="313" spans="1:11" x14ac:dyDescent="0.2">
      <c r="A313" s="1"/>
      <c r="G313" s="2"/>
      <c r="H313" s="1"/>
      <c r="I313" s="2"/>
      <c r="J313" s="1"/>
      <c r="K313" s="2"/>
    </row>
    <row r="314" spans="1:11" x14ac:dyDescent="0.2">
      <c r="A314" s="1"/>
      <c r="G314" s="2"/>
      <c r="H314" s="1"/>
      <c r="I314" s="2"/>
      <c r="J314" s="1"/>
      <c r="K314" s="2"/>
    </row>
    <row r="315" spans="1:11" x14ac:dyDescent="0.2">
      <c r="A315" s="1"/>
      <c r="G315" s="2"/>
      <c r="H315" s="1"/>
      <c r="I315" s="2"/>
      <c r="J315" s="1"/>
      <c r="K315" s="2"/>
    </row>
    <row r="316" spans="1:11" x14ac:dyDescent="0.2">
      <c r="A316" s="1"/>
      <c r="G316" s="2"/>
      <c r="H316" s="1"/>
      <c r="I316" s="2"/>
      <c r="J316" s="1"/>
      <c r="K316" s="2"/>
    </row>
    <row r="317" spans="1:11" x14ac:dyDescent="0.2">
      <c r="A317" s="1"/>
      <c r="G317" s="2"/>
      <c r="H317" s="1"/>
      <c r="I317" s="2"/>
      <c r="J317" s="1"/>
      <c r="K317" s="2"/>
    </row>
    <row r="318" spans="1:11" x14ac:dyDescent="0.2">
      <c r="A318" s="1"/>
      <c r="G318" s="2"/>
      <c r="H318" s="1"/>
      <c r="I318" s="2"/>
      <c r="J318" s="1"/>
      <c r="K318" s="2"/>
    </row>
    <row r="319" spans="1:11" x14ac:dyDescent="0.2">
      <c r="A319" s="1"/>
      <c r="G319" s="2"/>
      <c r="H319" s="1"/>
      <c r="I319" s="2"/>
      <c r="J319" s="1"/>
      <c r="K319" s="2"/>
    </row>
    <row r="320" spans="1:11" x14ac:dyDescent="0.2">
      <c r="A320" s="1"/>
      <c r="G320" s="2"/>
      <c r="H320" s="1"/>
      <c r="I320" s="2"/>
      <c r="J320" s="1"/>
      <c r="K320" s="2"/>
    </row>
    <row r="321" spans="1:11" x14ac:dyDescent="0.2">
      <c r="A321" s="1"/>
      <c r="G321" s="2"/>
      <c r="H321" s="1"/>
      <c r="I321" s="2"/>
      <c r="J321" s="1"/>
      <c r="K321" s="2"/>
    </row>
    <row r="322" spans="1:11" x14ac:dyDescent="0.2">
      <c r="A322" s="1"/>
      <c r="G322" s="2"/>
      <c r="H322" s="1"/>
      <c r="I322" s="2"/>
      <c r="J322" s="1"/>
      <c r="K322" s="2"/>
    </row>
    <row r="323" spans="1:11" x14ac:dyDescent="0.2">
      <c r="A323" s="1"/>
      <c r="G323" s="2"/>
      <c r="H323" s="1"/>
      <c r="I323" s="2"/>
      <c r="J323" s="1"/>
      <c r="K323" s="2"/>
    </row>
    <row r="324" spans="1:11" x14ac:dyDescent="0.2">
      <c r="A324" s="1"/>
      <c r="G324" s="2"/>
      <c r="H324" s="1"/>
      <c r="I324" s="2"/>
      <c r="J324" s="1"/>
      <c r="K324" s="2"/>
    </row>
    <row r="325" spans="1:11" x14ac:dyDescent="0.2">
      <c r="A325" s="1"/>
      <c r="G325" s="2"/>
      <c r="H325" s="1"/>
      <c r="I325" s="2"/>
      <c r="J325" s="1"/>
      <c r="K325" s="2"/>
    </row>
    <row r="326" spans="1:11" x14ac:dyDescent="0.2">
      <c r="A326" s="1"/>
      <c r="G326" s="2"/>
      <c r="H326" s="1"/>
      <c r="I326" s="2"/>
      <c r="J326" s="1"/>
      <c r="K326" s="2"/>
    </row>
    <row r="327" spans="1:11" x14ac:dyDescent="0.2">
      <c r="A327" s="1"/>
      <c r="G327" s="2"/>
      <c r="H327" s="1"/>
      <c r="I327" s="2"/>
      <c r="J327" s="1"/>
      <c r="K327" s="2"/>
    </row>
    <row r="328" spans="1:11" x14ac:dyDescent="0.2">
      <c r="A328" s="1"/>
      <c r="G328" s="2"/>
      <c r="H328" s="1"/>
      <c r="I328" s="2"/>
      <c r="J328" s="1"/>
      <c r="K328" s="2"/>
    </row>
    <row r="329" spans="1:11" x14ac:dyDescent="0.2">
      <c r="A329" s="1"/>
      <c r="G329" s="2"/>
      <c r="H329" s="1"/>
      <c r="I329" s="2"/>
      <c r="J329" s="1"/>
      <c r="K329" s="2"/>
    </row>
    <row r="330" spans="1:11" x14ac:dyDescent="0.2">
      <c r="A330" s="1"/>
      <c r="G330" s="2"/>
      <c r="H330" s="1"/>
      <c r="I330" s="2"/>
      <c r="J330" s="1"/>
      <c r="K330" s="2"/>
    </row>
    <row r="331" spans="1:11" x14ac:dyDescent="0.2">
      <c r="A331" s="1"/>
      <c r="G331" s="2"/>
      <c r="H331" s="1"/>
      <c r="I331" s="2"/>
      <c r="J331" s="1"/>
      <c r="K331" s="2"/>
    </row>
    <row r="332" spans="1:11" x14ac:dyDescent="0.2">
      <c r="A332" s="1"/>
      <c r="G332" s="2"/>
      <c r="H332" s="1"/>
      <c r="I332" s="2"/>
      <c r="J332" s="1"/>
      <c r="K332" s="2"/>
    </row>
    <row r="333" spans="1:11" x14ac:dyDescent="0.2">
      <c r="A333" s="1"/>
      <c r="G333" s="2"/>
      <c r="H333" s="1"/>
      <c r="I333" s="2"/>
      <c r="J333" s="1"/>
      <c r="K333" s="2"/>
    </row>
    <row r="334" spans="1:11" x14ac:dyDescent="0.2">
      <c r="A334" s="1"/>
      <c r="G334" s="2"/>
      <c r="H334" s="1"/>
      <c r="I334" s="2"/>
      <c r="J334" s="1"/>
      <c r="K334" s="2"/>
    </row>
    <row r="335" spans="1:11" x14ac:dyDescent="0.2">
      <c r="A335" s="1"/>
      <c r="G335" s="2"/>
      <c r="H335" s="1"/>
      <c r="I335" s="2"/>
      <c r="J335" s="1"/>
      <c r="K335" s="2"/>
    </row>
    <row r="336" spans="1:11" x14ac:dyDescent="0.2">
      <c r="A336" s="1"/>
      <c r="G336" s="2"/>
      <c r="H336" s="1"/>
      <c r="I336" s="2"/>
      <c r="J336" s="1"/>
      <c r="K336" s="2"/>
    </row>
    <row r="337" spans="1:11" x14ac:dyDescent="0.2">
      <c r="A337" s="1"/>
      <c r="G337" s="2"/>
      <c r="H337" s="1"/>
      <c r="I337" s="2"/>
      <c r="J337" s="1"/>
      <c r="K337" s="2"/>
    </row>
    <row r="338" spans="1:11" x14ac:dyDescent="0.2">
      <c r="A338" s="1"/>
      <c r="G338" s="2"/>
      <c r="H338" s="1"/>
      <c r="I338" s="2"/>
      <c r="J338" s="1"/>
      <c r="K338" s="2"/>
    </row>
    <row r="339" spans="1:11" x14ac:dyDescent="0.2">
      <c r="A339" s="1"/>
      <c r="G339" s="2"/>
      <c r="H339" s="1"/>
      <c r="I339" s="2"/>
      <c r="J339" s="1"/>
      <c r="K339" s="2"/>
    </row>
    <row r="340" spans="1:11" x14ac:dyDescent="0.2">
      <c r="A340" s="1"/>
      <c r="G340" s="2"/>
      <c r="H340" s="1"/>
      <c r="I340" s="2"/>
      <c r="J340" s="1"/>
      <c r="K340" s="2"/>
    </row>
    <row r="341" spans="1:11" x14ac:dyDescent="0.2">
      <c r="A341" s="1"/>
      <c r="G341" s="2"/>
      <c r="H341" s="1"/>
      <c r="I341" s="2"/>
      <c r="J341" s="1"/>
      <c r="K341" s="2"/>
    </row>
    <row r="342" spans="1:11" x14ac:dyDescent="0.2">
      <c r="A342" s="1"/>
      <c r="G342" s="2"/>
      <c r="H342" s="1"/>
      <c r="I342" s="2"/>
      <c r="J342" s="1"/>
      <c r="K342" s="2"/>
    </row>
    <row r="343" spans="1:11" x14ac:dyDescent="0.2">
      <c r="A343" s="1"/>
      <c r="G343" s="2"/>
      <c r="H343" s="1"/>
      <c r="I343" s="2"/>
      <c r="J343" s="1"/>
      <c r="K343" s="2"/>
    </row>
    <row r="344" spans="1:11" x14ac:dyDescent="0.2">
      <c r="A344" s="1"/>
      <c r="G344" s="2"/>
      <c r="H344" s="1"/>
      <c r="I344" s="2"/>
      <c r="J344" s="1"/>
      <c r="K344" s="2"/>
    </row>
    <row r="345" spans="1:11" x14ac:dyDescent="0.2">
      <c r="A345" s="1"/>
      <c r="G345" s="2"/>
      <c r="H345" s="1"/>
      <c r="I345" s="2"/>
      <c r="J345" s="1"/>
      <c r="K345" s="2"/>
    </row>
    <row r="346" spans="1:11" x14ac:dyDescent="0.2">
      <c r="A346" s="1"/>
      <c r="G346" s="2"/>
      <c r="H346" s="1"/>
      <c r="I346" s="2"/>
      <c r="J346" s="1"/>
      <c r="K346" s="2"/>
    </row>
    <row r="347" spans="1:11" x14ac:dyDescent="0.2">
      <c r="A347" s="1"/>
      <c r="G347" s="2"/>
      <c r="H347" s="1"/>
      <c r="I347" s="2"/>
      <c r="J347" s="1"/>
      <c r="K347" s="2"/>
    </row>
    <row r="348" spans="1:11" x14ac:dyDescent="0.2">
      <c r="A348" s="1"/>
      <c r="G348" s="2"/>
      <c r="H348" s="1"/>
      <c r="I348" s="2"/>
      <c r="J348" s="1"/>
      <c r="K348" s="2"/>
    </row>
    <row r="349" spans="1:11" x14ac:dyDescent="0.2">
      <c r="A349" s="1"/>
      <c r="G349" s="2"/>
      <c r="H349" s="1"/>
      <c r="I349" s="2"/>
      <c r="J349" s="1"/>
      <c r="K349" s="2"/>
    </row>
    <row r="350" spans="1:11" x14ac:dyDescent="0.2">
      <c r="A350" s="1"/>
      <c r="G350" s="2"/>
      <c r="H350" s="1"/>
      <c r="I350" s="2"/>
      <c r="J350" s="1"/>
      <c r="K350" s="2"/>
    </row>
    <row r="351" spans="1:11" x14ac:dyDescent="0.2">
      <c r="A351" s="1"/>
      <c r="G351" s="2"/>
      <c r="H351" s="1"/>
      <c r="I351" s="2"/>
      <c r="J351" s="1"/>
      <c r="K351" s="2"/>
    </row>
    <row r="352" spans="1:11" x14ac:dyDescent="0.2">
      <c r="A352" s="1"/>
      <c r="G352" s="2"/>
      <c r="H352" s="1"/>
      <c r="I352" s="2"/>
      <c r="J352" s="1"/>
      <c r="K352" s="2"/>
    </row>
    <row r="353" spans="1:11" x14ac:dyDescent="0.2">
      <c r="A353" s="1"/>
      <c r="G353" s="2"/>
      <c r="H353" s="1"/>
      <c r="I353" s="2"/>
      <c r="J353" s="1"/>
      <c r="K353" s="2"/>
    </row>
    <row r="354" spans="1:11" x14ac:dyDescent="0.2">
      <c r="A354" s="1"/>
      <c r="G354" s="2"/>
      <c r="H354" s="1"/>
      <c r="I354" s="2"/>
      <c r="J354" s="1"/>
      <c r="K354" s="2"/>
    </row>
    <row r="355" spans="1:11" x14ac:dyDescent="0.2">
      <c r="A355" s="1"/>
      <c r="G355" s="2"/>
      <c r="H355" s="1"/>
      <c r="I355" s="2"/>
      <c r="J355" s="1"/>
      <c r="K355" s="2"/>
    </row>
    <row r="356" spans="1:11" x14ac:dyDescent="0.2">
      <c r="A356" s="1"/>
      <c r="G356" s="2"/>
      <c r="H356" s="1"/>
      <c r="I356" s="2"/>
      <c r="J356" s="1"/>
      <c r="K356" s="2"/>
    </row>
    <row r="357" spans="1:11" x14ac:dyDescent="0.2">
      <c r="A357" s="1"/>
      <c r="G357" s="2"/>
      <c r="H357" s="1"/>
      <c r="I357" s="2"/>
      <c r="J357" s="1"/>
      <c r="K357" s="2"/>
    </row>
    <row r="358" spans="1:11" x14ac:dyDescent="0.2">
      <c r="A358" s="1"/>
      <c r="G358" s="2"/>
      <c r="H358" s="1"/>
      <c r="I358" s="2"/>
      <c r="J358" s="1"/>
      <c r="K358" s="2"/>
    </row>
    <row r="359" spans="1:11" x14ac:dyDescent="0.2">
      <c r="A359" s="1"/>
      <c r="G359" s="2"/>
      <c r="H359" s="1"/>
      <c r="I359" s="2"/>
      <c r="J359" s="1"/>
      <c r="K359" s="2"/>
    </row>
    <row r="360" spans="1:11" x14ac:dyDescent="0.2">
      <c r="A360" s="1"/>
      <c r="G360" s="2"/>
      <c r="H360" s="1"/>
      <c r="I360" s="2"/>
      <c r="J360" s="1"/>
      <c r="K360" s="2"/>
    </row>
    <row r="361" spans="1:11" x14ac:dyDescent="0.2">
      <c r="A361" s="1"/>
      <c r="G361" s="2"/>
      <c r="H361" s="1"/>
      <c r="I361" s="2"/>
      <c r="J361" s="1"/>
      <c r="K361" s="2"/>
    </row>
    <row r="362" spans="1:11" x14ac:dyDescent="0.2">
      <c r="A362" s="1"/>
      <c r="G362" s="2"/>
      <c r="H362" s="1"/>
      <c r="I362" s="2"/>
      <c r="J362" s="1"/>
      <c r="K362" s="2"/>
    </row>
    <row r="363" spans="1:11" x14ac:dyDescent="0.2">
      <c r="A363" s="1"/>
      <c r="G363" s="2"/>
      <c r="H363" s="1"/>
      <c r="I363" s="2"/>
      <c r="J363" s="1"/>
      <c r="K363" s="2"/>
    </row>
    <row r="364" spans="1:11" x14ac:dyDescent="0.2">
      <c r="A364" s="1"/>
      <c r="G364" s="2"/>
      <c r="H364" s="1"/>
      <c r="I364" s="2"/>
      <c r="J364" s="1"/>
      <c r="K364" s="2"/>
    </row>
    <row r="365" spans="1:11" x14ac:dyDescent="0.2">
      <c r="A365" s="1"/>
      <c r="G365" s="2"/>
      <c r="H365" s="1"/>
      <c r="I365" s="2"/>
      <c r="J365" s="1"/>
      <c r="K365" s="2"/>
    </row>
    <row r="366" spans="1:11" x14ac:dyDescent="0.2">
      <c r="A366" s="1"/>
      <c r="G366" s="2"/>
      <c r="H366" s="1"/>
      <c r="I366" s="2"/>
      <c r="J366" s="1"/>
      <c r="K366" s="2"/>
    </row>
    <row r="367" spans="1:11" x14ac:dyDescent="0.2">
      <c r="A367" s="1"/>
      <c r="G367" s="2"/>
      <c r="H367" s="1"/>
      <c r="I367" s="2"/>
      <c r="J367" s="1"/>
      <c r="K367" s="2"/>
    </row>
    <row r="368" spans="1:11" x14ac:dyDescent="0.2">
      <c r="A368" s="1"/>
      <c r="G368" s="2"/>
      <c r="H368" s="1"/>
      <c r="I368" s="2"/>
      <c r="J368" s="1"/>
      <c r="K368" s="2"/>
    </row>
    <row r="369" spans="1:11" x14ac:dyDescent="0.2">
      <c r="A369" s="1"/>
      <c r="G369" s="2"/>
      <c r="H369" s="1"/>
      <c r="I369" s="2"/>
      <c r="J369" s="1"/>
      <c r="K369" s="2"/>
    </row>
    <row r="370" spans="1:11" x14ac:dyDescent="0.2">
      <c r="A370" s="1"/>
      <c r="G370" s="2"/>
      <c r="H370" s="1"/>
      <c r="I370" s="2"/>
      <c r="J370" s="1"/>
      <c r="K370" s="2"/>
    </row>
    <row r="371" spans="1:11" x14ac:dyDescent="0.2">
      <c r="A371" s="1"/>
      <c r="G371" s="2"/>
      <c r="H371" s="1"/>
      <c r="I371" s="2"/>
      <c r="J371" s="1"/>
      <c r="K371" s="2"/>
    </row>
    <row r="372" spans="1:11" x14ac:dyDescent="0.2">
      <c r="A372" s="1"/>
      <c r="G372" s="2"/>
      <c r="H372" s="1"/>
      <c r="I372" s="2"/>
      <c r="J372" s="1"/>
      <c r="K372" s="2"/>
    </row>
    <row r="373" spans="1:11" x14ac:dyDescent="0.2">
      <c r="A373" s="1"/>
      <c r="G373" s="2"/>
      <c r="H373" s="1"/>
      <c r="I373" s="2"/>
      <c r="J373" s="1"/>
      <c r="K373" s="2"/>
    </row>
    <row r="374" spans="1:11" x14ac:dyDescent="0.2">
      <c r="A374" s="1"/>
      <c r="G374" s="2"/>
      <c r="H374" s="1"/>
      <c r="I374" s="2"/>
      <c r="J374" s="1"/>
      <c r="K374" s="2"/>
    </row>
    <row r="375" spans="1:11" x14ac:dyDescent="0.2">
      <c r="A375" s="1"/>
      <c r="G375" s="2"/>
      <c r="H375" s="1"/>
      <c r="I375" s="2"/>
      <c r="J375" s="1"/>
      <c r="K375" s="2"/>
    </row>
    <row r="376" spans="1:11" x14ac:dyDescent="0.2">
      <c r="A376" s="1"/>
      <c r="G376" s="2"/>
      <c r="H376" s="1"/>
      <c r="I376" s="2"/>
      <c r="J376" s="1"/>
      <c r="K376" s="2"/>
    </row>
    <row r="377" spans="1:11" x14ac:dyDescent="0.2">
      <c r="A377" s="1"/>
      <c r="G377" s="2"/>
      <c r="H377" s="1"/>
      <c r="I377" s="2"/>
      <c r="J377" s="1"/>
      <c r="K377" s="2"/>
    </row>
    <row r="378" spans="1:11" x14ac:dyDescent="0.2">
      <c r="A378" s="1"/>
      <c r="G378" s="2"/>
      <c r="H378" s="1"/>
      <c r="I378" s="2"/>
      <c r="J378" s="1"/>
      <c r="K378" s="2"/>
    </row>
    <row r="379" spans="1:11" x14ac:dyDescent="0.2">
      <c r="A379" s="1"/>
      <c r="G379" s="2"/>
      <c r="H379" s="1"/>
      <c r="I379" s="2"/>
      <c r="J379" s="1"/>
      <c r="K379" s="2"/>
    </row>
    <row r="380" spans="1:11" x14ac:dyDescent="0.2">
      <c r="A380" s="1"/>
      <c r="G380" s="2"/>
      <c r="H380" s="1"/>
      <c r="I380" s="2"/>
      <c r="J380" s="1"/>
      <c r="K380" s="2"/>
    </row>
    <row r="381" spans="1:11" x14ac:dyDescent="0.2">
      <c r="A381" s="1"/>
      <c r="G381" s="2"/>
      <c r="H381" s="1"/>
      <c r="I381" s="2"/>
      <c r="J381" s="1"/>
      <c r="K381" s="2"/>
    </row>
    <row r="382" spans="1:11" x14ac:dyDescent="0.2">
      <c r="A382" s="1"/>
      <c r="G382" s="2"/>
      <c r="H382" s="1"/>
      <c r="I382" s="2"/>
      <c r="J382" s="1"/>
      <c r="K382" s="2"/>
    </row>
    <row r="383" spans="1:11" x14ac:dyDescent="0.2">
      <c r="A383" s="1"/>
      <c r="G383" s="2"/>
      <c r="H383" s="1"/>
      <c r="I383" s="2"/>
      <c r="J383" s="1"/>
      <c r="K383" s="2"/>
    </row>
    <row r="384" spans="1:11" x14ac:dyDescent="0.2">
      <c r="A384" s="1"/>
      <c r="G384" s="2"/>
      <c r="H384" s="1"/>
      <c r="I384" s="2"/>
      <c r="J384" s="1"/>
      <c r="K384" s="2"/>
    </row>
    <row r="385" spans="1:11" x14ac:dyDescent="0.2">
      <c r="A385" s="1"/>
      <c r="G385" s="2"/>
      <c r="H385" s="1"/>
      <c r="I385" s="2"/>
      <c r="J385" s="1"/>
      <c r="K385" s="2"/>
    </row>
    <row r="386" spans="1:11" x14ac:dyDescent="0.2">
      <c r="A386" s="1"/>
      <c r="G386" s="2"/>
      <c r="H386" s="1"/>
      <c r="I386" s="2"/>
      <c r="J386" s="1"/>
      <c r="K386" s="2"/>
    </row>
    <row r="387" spans="1:11" x14ac:dyDescent="0.2">
      <c r="A387" s="1"/>
      <c r="G387" s="2"/>
      <c r="H387" s="1"/>
      <c r="I387" s="2"/>
      <c r="J387" s="1"/>
      <c r="K387" s="2"/>
    </row>
    <row r="388" spans="1:11" x14ac:dyDescent="0.2">
      <c r="A388" s="1"/>
      <c r="G388" s="2"/>
      <c r="H388" s="1"/>
      <c r="I388" s="2"/>
      <c r="J388" s="1"/>
      <c r="K388" s="2"/>
    </row>
    <row r="389" spans="1:11" x14ac:dyDescent="0.2">
      <c r="A389" s="1"/>
      <c r="G389" s="2"/>
      <c r="H389" s="1"/>
      <c r="I389" s="2"/>
      <c r="J389" s="1"/>
      <c r="K389" s="2"/>
    </row>
    <row r="390" spans="1:11" x14ac:dyDescent="0.2">
      <c r="A390" s="1"/>
      <c r="G390" s="2"/>
      <c r="H390" s="1"/>
      <c r="I390" s="2"/>
      <c r="J390" s="1"/>
      <c r="K390" s="2"/>
    </row>
    <row r="391" spans="1:11" x14ac:dyDescent="0.2">
      <c r="A391" s="1"/>
      <c r="G391" s="2"/>
      <c r="H391" s="1"/>
      <c r="I391" s="2"/>
      <c r="J391" s="1"/>
      <c r="K391" s="2"/>
    </row>
    <row r="392" spans="1:11" x14ac:dyDescent="0.2">
      <c r="A392" s="1"/>
      <c r="G392" s="2"/>
      <c r="H392" s="1"/>
      <c r="I392" s="2"/>
      <c r="J392" s="1"/>
      <c r="K392" s="2"/>
    </row>
    <row r="393" spans="1:11" x14ac:dyDescent="0.2">
      <c r="A393" s="1"/>
      <c r="G393" s="2"/>
      <c r="H393" s="1"/>
      <c r="I393" s="2"/>
      <c r="J393" s="1"/>
      <c r="K393" s="2"/>
    </row>
    <row r="394" spans="1:11" x14ac:dyDescent="0.2">
      <c r="A394" s="1"/>
      <c r="G394" s="2"/>
      <c r="H394" s="1"/>
      <c r="I394" s="2"/>
      <c r="J394" s="1"/>
      <c r="K394" s="2"/>
    </row>
    <row r="395" spans="1:11" x14ac:dyDescent="0.2">
      <c r="A395" s="1"/>
      <c r="G395" s="2"/>
      <c r="H395" s="1"/>
      <c r="I395" s="2"/>
      <c r="J395" s="1"/>
      <c r="K395" s="2"/>
    </row>
    <row r="396" spans="1:11" x14ac:dyDescent="0.2">
      <c r="A396" s="1"/>
      <c r="G396" s="2"/>
      <c r="H396" s="1"/>
      <c r="I396" s="2"/>
      <c r="J396" s="1"/>
      <c r="K396" s="2"/>
    </row>
    <row r="397" spans="1:11" x14ac:dyDescent="0.2">
      <c r="A397" s="1"/>
      <c r="G397" s="2"/>
      <c r="H397" s="1"/>
      <c r="I397" s="2"/>
      <c r="J397" s="1"/>
      <c r="K397" s="2"/>
    </row>
    <row r="398" spans="1:11" x14ac:dyDescent="0.2">
      <c r="A398" s="1"/>
      <c r="G398" s="2"/>
      <c r="H398" s="1"/>
      <c r="I398" s="2"/>
      <c r="J398" s="1"/>
      <c r="K398" s="2"/>
    </row>
    <row r="399" spans="1:11" x14ac:dyDescent="0.2">
      <c r="A399" s="1"/>
      <c r="G399" s="2"/>
      <c r="H399" s="1"/>
      <c r="I399" s="2"/>
      <c r="J399" s="1"/>
      <c r="K399" s="2"/>
    </row>
    <row r="400" spans="1:11" x14ac:dyDescent="0.2">
      <c r="A400" s="1"/>
      <c r="G400" s="2"/>
      <c r="H400" s="1"/>
      <c r="I400" s="2"/>
      <c r="J400" s="1"/>
      <c r="K400" s="2"/>
    </row>
    <row r="401" spans="1:11" x14ac:dyDescent="0.2">
      <c r="A401" s="1"/>
      <c r="G401" s="2"/>
      <c r="H401" s="1"/>
      <c r="I401" s="2"/>
      <c r="J401" s="1"/>
      <c r="K401" s="2"/>
    </row>
    <row r="402" spans="1:11" x14ac:dyDescent="0.2">
      <c r="A402" s="1"/>
      <c r="G402" s="2"/>
      <c r="H402" s="1"/>
      <c r="I402" s="2"/>
      <c r="J402" s="1"/>
      <c r="K402" s="2"/>
    </row>
    <row r="403" spans="1:11" x14ac:dyDescent="0.2">
      <c r="A403" s="1"/>
      <c r="G403" s="2"/>
      <c r="H403" s="1"/>
      <c r="I403" s="2"/>
      <c r="J403" s="1"/>
      <c r="K403" s="2"/>
    </row>
    <row r="404" spans="1:11" x14ac:dyDescent="0.2">
      <c r="A404" s="1"/>
      <c r="G404" s="2"/>
      <c r="H404" s="1"/>
      <c r="I404" s="2"/>
      <c r="J404" s="1"/>
      <c r="K404" s="2"/>
    </row>
    <row r="405" spans="1:11" x14ac:dyDescent="0.2">
      <c r="A405" s="1"/>
      <c r="G405" s="2"/>
      <c r="H405" s="1"/>
      <c r="I405" s="2"/>
      <c r="J405" s="1"/>
      <c r="K405" s="2"/>
    </row>
    <row r="406" spans="1:11" x14ac:dyDescent="0.2">
      <c r="A406" s="1"/>
      <c r="G406" s="2"/>
      <c r="H406" s="1"/>
      <c r="I406" s="2"/>
      <c r="J406" s="1"/>
      <c r="K406" s="2"/>
    </row>
    <row r="407" spans="1:11" x14ac:dyDescent="0.2">
      <c r="A407" s="1"/>
      <c r="G407" s="2"/>
      <c r="H407" s="1"/>
      <c r="I407" s="2"/>
      <c r="J407" s="1"/>
      <c r="K407" s="2"/>
    </row>
    <row r="408" spans="1:11" x14ac:dyDescent="0.2">
      <c r="A408" s="1"/>
      <c r="G408" s="2"/>
      <c r="H408" s="1"/>
      <c r="I408" s="2"/>
      <c r="J408" s="1"/>
      <c r="K408" s="2"/>
    </row>
    <row r="409" spans="1:11" x14ac:dyDescent="0.2">
      <c r="A409" s="1"/>
      <c r="G409" s="2"/>
      <c r="H409" s="1"/>
      <c r="I409" s="2"/>
      <c r="J409" s="1"/>
      <c r="K409" s="2"/>
    </row>
    <row r="410" spans="1:11" x14ac:dyDescent="0.2">
      <c r="A410" s="1"/>
      <c r="G410" s="2"/>
      <c r="H410" s="1"/>
      <c r="I410" s="2"/>
      <c r="J410" s="1"/>
      <c r="K410" s="2"/>
    </row>
    <row r="411" spans="1:11" x14ac:dyDescent="0.2">
      <c r="A411" s="1"/>
      <c r="G411" s="2"/>
      <c r="H411" s="1"/>
      <c r="I411" s="2"/>
      <c r="J411" s="1"/>
      <c r="K411" s="2"/>
    </row>
    <row r="412" spans="1:11" x14ac:dyDescent="0.2">
      <c r="A412" s="1"/>
      <c r="G412" s="2"/>
      <c r="H412" s="1"/>
      <c r="I412" s="2"/>
      <c r="J412" s="1"/>
      <c r="K412" s="2"/>
    </row>
    <row r="413" spans="1:11" x14ac:dyDescent="0.2">
      <c r="A413" s="1"/>
      <c r="G413" s="2"/>
      <c r="H413" s="1"/>
      <c r="I413" s="2"/>
      <c r="J413" s="1"/>
      <c r="K413" s="2"/>
    </row>
    <row r="414" spans="1:11" x14ac:dyDescent="0.2">
      <c r="A414" s="1"/>
      <c r="G414" s="2"/>
      <c r="H414" s="1"/>
      <c r="I414" s="2"/>
      <c r="J414" s="1"/>
      <c r="K414" s="2"/>
    </row>
    <row r="415" spans="1:11" x14ac:dyDescent="0.2">
      <c r="A415" s="1"/>
      <c r="G415" s="2"/>
      <c r="H415" s="1"/>
      <c r="I415" s="2"/>
      <c r="J415" s="1"/>
      <c r="K415" s="2"/>
    </row>
    <row r="416" spans="1:11" x14ac:dyDescent="0.2">
      <c r="A416" s="1"/>
      <c r="G416" s="2"/>
      <c r="H416" s="1"/>
      <c r="I416" s="2"/>
      <c r="J416" s="1"/>
      <c r="K416" s="2"/>
    </row>
    <row r="417" spans="1:11" x14ac:dyDescent="0.2">
      <c r="A417" s="1"/>
      <c r="G417" s="2"/>
      <c r="H417" s="1"/>
      <c r="I417" s="2"/>
      <c r="J417" s="1"/>
      <c r="K417" s="2"/>
    </row>
    <row r="418" spans="1:11" x14ac:dyDescent="0.2">
      <c r="A418" s="1"/>
      <c r="G418" s="2"/>
      <c r="H418" s="1"/>
      <c r="I418" s="2"/>
      <c r="J418" s="1"/>
      <c r="K418" s="2"/>
    </row>
    <row r="419" spans="1:11" x14ac:dyDescent="0.2">
      <c r="A419" s="1"/>
      <c r="G419" s="2"/>
      <c r="H419" s="1"/>
      <c r="I419" s="2"/>
      <c r="J419" s="1"/>
      <c r="K419" s="2"/>
    </row>
    <row r="420" spans="1:11" x14ac:dyDescent="0.2">
      <c r="A420" s="1"/>
      <c r="G420" s="2"/>
      <c r="H420" s="1"/>
      <c r="I420" s="2"/>
      <c r="J420" s="1"/>
      <c r="K420" s="2"/>
    </row>
    <row r="421" spans="1:11" x14ac:dyDescent="0.2">
      <c r="A421" s="1"/>
      <c r="G421" s="2"/>
      <c r="H421" s="1"/>
      <c r="I421" s="2"/>
      <c r="J421" s="1"/>
      <c r="K421" s="2"/>
    </row>
    <row r="422" spans="1:11" x14ac:dyDescent="0.2">
      <c r="A422" s="1"/>
      <c r="G422" s="2"/>
      <c r="H422" s="1"/>
      <c r="I422" s="2"/>
      <c r="J422" s="1"/>
      <c r="K422" s="2"/>
    </row>
    <row r="423" spans="1:11" x14ac:dyDescent="0.2">
      <c r="A423" s="1"/>
      <c r="G423" s="2"/>
      <c r="H423" s="1"/>
      <c r="I423" s="2"/>
      <c r="J423" s="1"/>
      <c r="K423" s="2"/>
    </row>
    <row r="424" spans="1:11" x14ac:dyDescent="0.2">
      <c r="A424" s="1"/>
      <c r="G424" s="2"/>
      <c r="H424" s="1"/>
      <c r="I424" s="2"/>
      <c r="J424" s="1"/>
      <c r="K424" s="2"/>
    </row>
    <row r="425" spans="1:11" x14ac:dyDescent="0.2">
      <c r="A425" s="1"/>
      <c r="G425" s="2"/>
      <c r="H425" s="1"/>
      <c r="I425" s="2"/>
      <c r="J425" s="1"/>
      <c r="K425" s="2"/>
    </row>
    <row r="426" spans="1:11" x14ac:dyDescent="0.2">
      <c r="A426" s="1"/>
      <c r="G426" s="2"/>
      <c r="H426" s="1"/>
      <c r="I426" s="2"/>
      <c r="J426" s="1"/>
      <c r="K426" s="2"/>
    </row>
    <row r="427" spans="1:11" x14ac:dyDescent="0.2">
      <c r="A427" s="1"/>
      <c r="G427" s="2"/>
      <c r="H427" s="1"/>
      <c r="I427" s="2"/>
      <c r="J427" s="1"/>
      <c r="K427" s="2"/>
    </row>
    <row r="428" spans="1:11" x14ac:dyDescent="0.2">
      <c r="A428" s="1"/>
      <c r="G428" s="2"/>
      <c r="H428" s="1"/>
      <c r="I428" s="2"/>
      <c r="J428" s="1"/>
      <c r="K428" s="2"/>
    </row>
    <row r="429" spans="1:11" x14ac:dyDescent="0.2">
      <c r="A429" s="1"/>
      <c r="G429" s="2"/>
      <c r="H429" s="1"/>
      <c r="I429" s="2"/>
      <c r="J429" s="1"/>
      <c r="K429" s="2"/>
    </row>
    <row r="430" spans="1:11" x14ac:dyDescent="0.2">
      <c r="A430" s="1"/>
      <c r="G430" s="2"/>
      <c r="H430" s="1"/>
      <c r="I430" s="2"/>
      <c r="J430" s="1"/>
      <c r="K430" s="2"/>
    </row>
    <row r="431" spans="1:11" x14ac:dyDescent="0.2">
      <c r="A431" s="1"/>
      <c r="G431" s="2"/>
      <c r="H431" s="1"/>
      <c r="I431" s="2"/>
      <c r="J431" s="1"/>
      <c r="K431" s="2"/>
    </row>
    <row r="432" spans="1:11" x14ac:dyDescent="0.2">
      <c r="A432" s="1"/>
      <c r="G432" s="2"/>
      <c r="H432" s="1"/>
      <c r="I432" s="2"/>
      <c r="J432" s="1"/>
      <c r="K432" s="2"/>
    </row>
    <row r="433" spans="1:11" x14ac:dyDescent="0.2">
      <c r="A433" s="1"/>
      <c r="G433" s="2"/>
      <c r="H433" s="1"/>
      <c r="I433" s="2"/>
      <c r="J433" s="1"/>
      <c r="K433" s="2"/>
    </row>
    <row r="434" spans="1:11" x14ac:dyDescent="0.2">
      <c r="A434" s="1"/>
      <c r="G434" s="2"/>
      <c r="H434" s="1"/>
      <c r="I434" s="2"/>
      <c r="J434" s="1"/>
      <c r="K434" s="2"/>
    </row>
    <row r="435" spans="1:11" x14ac:dyDescent="0.2">
      <c r="A435" s="1"/>
      <c r="G435" s="2"/>
      <c r="H435" s="1"/>
      <c r="I435" s="2"/>
      <c r="J435" s="1"/>
      <c r="K435" s="2"/>
    </row>
    <row r="436" spans="1:11" x14ac:dyDescent="0.2">
      <c r="A436" s="1"/>
      <c r="G436" s="2"/>
      <c r="H436" s="1"/>
      <c r="I436" s="2"/>
      <c r="J436" s="1"/>
      <c r="K436" s="2"/>
    </row>
    <row r="437" spans="1:11" x14ac:dyDescent="0.2">
      <c r="A437" s="1"/>
      <c r="G437" s="2"/>
      <c r="H437" s="1"/>
      <c r="I437" s="2"/>
      <c r="J437" s="1"/>
      <c r="K437" s="2"/>
    </row>
    <row r="438" spans="1:11" x14ac:dyDescent="0.2">
      <c r="A438" s="1"/>
      <c r="G438" s="2"/>
      <c r="H438" s="1"/>
      <c r="I438" s="2"/>
      <c r="J438" s="1"/>
      <c r="K438" s="2"/>
    </row>
    <row r="439" spans="1:11" x14ac:dyDescent="0.2">
      <c r="A439" s="1"/>
      <c r="G439" s="2"/>
      <c r="H439" s="1"/>
      <c r="I439" s="2"/>
      <c r="J439" s="1"/>
      <c r="K439" s="2"/>
    </row>
    <row r="440" spans="1:11" x14ac:dyDescent="0.2">
      <c r="A440" s="1"/>
      <c r="G440" s="2"/>
      <c r="H440" s="1"/>
      <c r="I440" s="2"/>
      <c r="J440" s="1"/>
      <c r="K440" s="2"/>
    </row>
    <row r="441" spans="1:11" x14ac:dyDescent="0.2">
      <c r="A441" s="1"/>
      <c r="G441" s="2"/>
      <c r="H441" s="1"/>
      <c r="I441" s="2"/>
      <c r="J441" s="1"/>
      <c r="K441" s="2"/>
    </row>
    <row r="442" spans="1:11" x14ac:dyDescent="0.2">
      <c r="A442" s="1"/>
      <c r="G442" s="2"/>
      <c r="H442" s="1"/>
      <c r="I442" s="2"/>
      <c r="J442" s="1"/>
      <c r="K442" s="2"/>
    </row>
    <row r="443" spans="1:11" x14ac:dyDescent="0.2">
      <c r="A443" s="1"/>
      <c r="G443" s="2"/>
      <c r="H443" s="1"/>
      <c r="I443" s="2"/>
      <c r="J443" s="1"/>
      <c r="K443" s="2"/>
    </row>
    <row r="444" spans="1:11" x14ac:dyDescent="0.2">
      <c r="A444" s="1"/>
      <c r="G444" s="2"/>
      <c r="H444" s="1"/>
      <c r="I444" s="2"/>
      <c r="J444" s="1"/>
      <c r="K444" s="2"/>
    </row>
    <row r="445" spans="1:11" x14ac:dyDescent="0.2">
      <c r="A445" s="1"/>
      <c r="G445" s="2"/>
      <c r="H445" s="1"/>
      <c r="I445" s="2"/>
      <c r="J445" s="1"/>
      <c r="K445" s="2"/>
    </row>
    <row r="446" spans="1:11" x14ac:dyDescent="0.2">
      <c r="A446" s="1"/>
      <c r="G446" s="2"/>
      <c r="H446" s="1"/>
      <c r="I446" s="2"/>
      <c r="J446" s="1"/>
      <c r="K446" s="2"/>
    </row>
    <row r="447" spans="1:11" x14ac:dyDescent="0.2">
      <c r="A447" s="1"/>
      <c r="G447" s="2"/>
      <c r="H447" s="1"/>
      <c r="I447" s="2"/>
      <c r="J447" s="1"/>
      <c r="K447" s="2"/>
    </row>
    <row r="448" spans="1:11" x14ac:dyDescent="0.2">
      <c r="A448" s="1"/>
      <c r="G448" s="2"/>
      <c r="H448" s="1"/>
      <c r="I448" s="2"/>
      <c r="J448" s="1"/>
      <c r="K448" s="2"/>
    </row>
    <row r="449" spans="1:11" x14ac:dyDescent="0.2">
      <c r="A449" s="1"/>
      <c r="G449" s="2"/>
      <c r="H449" s="1"/>
      <c r="I449" s="2"/>
      <c r="J449" s="1"/>
      <c r="K449" s="2"/>
    </row>
    <row r="450" spans="1:11" x14ac:dyDescent="0.2">
      <c r="A450" s="1"/>
      <c r="G450" s="2"/>
      <c r="H450" s="1"/>
      <c r="I450" s="2"/>
      <c r="J450" s="1"/>
      <c r="K450" s="2"/>
    </row>
    <row r="451" spans="1:11" x14ac:dyDescent="0.2">
      <c r="A451" s="1"/>
      <c r="G451" s="2"/>
      <c r="H451" s="1"/>
      <c r="I451" s="2"/>
      <c r="J451" s="1"/>
      <c r="K451" s="2"/>
    </row>
    <row r="452" spans="1:11" x14ac:dyDescent="0.2">
      <c r="A452" s="1"/>
      <c r="G452" s="2"/>
      <c r="H452" s="1"/>
      <c r="I452" s="2"/>
      <c r="J452" s="1"/>
      <c r="K452" s="2"/>
    </row>
    <row r="453" spans="1:11" x14ac:dyDescent="0.2">
      <c r="A453" s="1"/>
      <c r="G453" s="2"/>
      <c r="H453" s="1"/>
      <c r="I453" s="2"/>
      <c r="J453" s="1"/>
      <c r="K453" s="2"/>
    </row>
    <row r="454" spans="1:11" x14ac:dyDescent="0.2">
      <c r="A454" s="1"/>
      <c r="G454" s="2"/>
      <c r="H454" s="1"/>
      <c r="I454" s="2"/>
      <c r="J454" s="1"/>
      <c r="K454" s="2"/>
    </row>
    <row r="455" spans="1:11" x14ac:dyDescent="0.2">
      <c r="A455" s="1"/>
      <c r="G455" s="2"/>
      <c r="H455" s="1"/>
      <c r="I455" s="2"/>
      <c r="J455" s="1"/>
      <c r="K455" s="2"/>
    </row>
    <row r="456" spans="1:11" x14ac:dyDescent="0.2">
      <c r="A456" s="1"/>
      <c r="G456" s="2"/>
      <c r="H456" s="1"/>
      <c r="I456" s="2"/>
      <c r="J456" s="1"/>
      <c r="K456" s="2"/>
    </row>
    <row r="457" spans="1:11" x14ac:dyDescent="0.2">
      <c r="A457" s="1"/>
      <c r="G457" s="2"/>
      <c r="H457" s="1"/>
      <c r="I457" s="2"/>
      <c r="J457" s="1"/>
      <c r="K457" s="2"/>
    </row>
    <row r="458" spans="1:11" x14ac:dyDescent="0.2">
      <c r="A458" s="1"/>
      <c r="G458" s="2"/>
      <c r="H458" s="1"/>
      <c r="I458" s="2"/>
      <c r="J458" s="1"/>
      <c r="K458" s="2"/>
    </row>
    <row r="459" spans="1:11" x14ac:dyDescent="0.2">
      <c r="A459" s="1"/>
      <c r="G459" s="2"/>
      <c r="H459" s="1"/>
      <c r="I459" s="2"/>
      <c r="J459" s="1"/>
      <c r="K459" s="2"/>
    </row>
    <row r="460" spans="1:11" x14ac:dyDescent="0.2">
      <c r="A460" s="1"/>
      <c r="G460" s="2"/>
      <c r="H460" s="1"/>
      <c r="I460" s="2"/>
      <c r="J460" s="1"/>
      <c r="K460" s="2"/>
    </row>
    <row r="461" spans="1:11" x14ac:dyDescent="0.2">
      <c r="A461" s="1"/>
      <c r="G461" s="2"/>
      <c r="H461" s="1"/>
      <c r="I461" s="2"/>
      <c r="J461" s="1"/>
      <c r="K461" s="2"/>
    </row>
    <row r="462" spans="1:11" x14ac:dyDescent="0.2">
      <c r="A462" s="1"/>
      <c r="G462" s="2"/>
      <c r="H462" s="1"/>
      <c r="I462" s="2"/>
      <c r="J462" s="1"/>
      <c r="K462" s="2"/>
    </row>
    <row r="463" spans="1:11" x14ac:dyDescent="0.2">
      <c r="A463" s="1"/>
      <c r="G463" s="2"/>
      <c r="H463" s="1"/>
      <c r="I463" s="2"/>
      <c r="J463" s="1"/>
      <c r="K463" s="2"/>
    </row>
    <row r="464" spans="1:11" x14ac:dyDescent="0.2">
      <c r="A464" s="1"/>
      <c r="G464" s="2"/>
      <c r="H464" s="1"/>
      <c r="I464" s="2"/>
      <c r="J464" s="1"/>
      <c r="K464" s="2"/>
    </row>
    <row r="465" spans="1:11" x14ac:dyDescent="0.2">
      <c r="A465" s="1"/>
      <c r="G465" s="2"/>
      <c r="H465" s="1"/>
      <c r="I465" s="2"/>
      <c r="J465" s="1"/>
      <c r="K465" s="2"/>
    </row>
    <row r="466" spans="1:11" x14ac:dyDescent="0.2">
      <c r="A466" s="1"/>
      <c r="G466" s="2"/>
      <c r="H466" s="1"/>
      <c r="I466" s="2"/>
      <c r="J466" s="1"/>
      <c r="K466" s="2"/>
    </row>
    <row r="467" spans="1:11" x14ac:dyDescent="0.2">
      <c r="A467" s="1"/>
      <c r="G467" s="2"/>
      <c r="H467" s="1"/>
      <c r="I467" s="2"/>
      <c r="J467" s="1"/>
      <c r="K467" s="2"/>
    </row>
    <row r="468" spans="1:11" x14ac:dyDescent="0.2">
      <c r="A468" s="1"/>
      <c r="G468" s="2"/>
      <c r="H468" s="1"/>
      <c r="I468" s="2"/>
      <c r="J468" s="1"/>
      <c r="K468" s="2"/>
    </row>
    <row r="469" spans="1:11" x14ac:dyDescent="0.2">
      <c r="A469" s="1"/>
      <c r="G469" s="2"/>
      <c r="H469" s="1"/>
      <c r="I469" s="2"/>
      <c r="J469" s="1"/>
      <c r="K469" s="2"/>
    </row>
    <row r="470" spans="1:11" x14ac:dyDescent="0.2">
      <c r="A470" s="1"/>
      <c r="G470" s="2"/>
      <c r="H470" s="1"/>
      <c r="I470" s="2"/>
      <c r="J470" s="1"/>
      <c r="K470" s="2"/>
    </row>
    <row r="471" spans="1:11" x14ac:dyDescent="0.2">
      <c r="A471" s="1"/>
      <c r="G471" s="2"/>
      <c r="H471" s="1"/>
      <c r="I471" s="2"/>
      <c r="J471" s="1"/>
      <c r="K471" s="2"/>
    </row>
    <row r="472" spans="1:11" x14ac:dyDescent="0.2">
      <c r="A472" s="1"/>
      <c r="G472" s="2"/>
      <c r="H472" s="1"/>
      <c r="I472" s="2"/>
      <c r="J472" s="1"/>
      <c r="K472" s="2"/>
    </row>
    <row r="473" spans="1:11" x14ac:dyDescent="0.2">
      <c r="A473" s="1"/>
      <c r="G473" s="2"/>
      <c r="H473" s="1"/>
      <c r="I473" s="2"/>
      <c r="J473" s="1"/>
      <c r="K473" s="2"/>
    </row>
    <row r="474" spans="1:11" x14ac:dyDescent="0.2">
      <c r="A474" s="1"/>
      <c r="G474" s="2"/>
      <c r="H474" s="1"/>
      <c r="I474" s="2"/>
      <c r="J474" s="1"/>
      <c r="K474" s="2"/>
    </row>
    <row r="475" spans="1:11" x14ac:dyDescent="0.2">
      <c r="A475" s="1"/>
      <c r="G475" s="2"/>
      <c r="H475" s="1"/>
      <c r="I475" s="2"/>
      <c r="J475" s="1"/>
      <c r="K475" s="2"/>
    </row>
    <row r="476" spans="1:11" x14ac:dyDescent="0.2">
      <c r="A476" s="1"/>
      <c r="G476" s="2"/>
      <c r="H476" s="1"/>
      <c r="I476" s="2"/>
      <c r="J476" s="1"/>
      <c r="K476" s="2"/>
    </row>
    <row r="477" spans="1:11" x14ac:dyDescent="0.2">
      <c r="A477" s="1"/>
      <c r="G477" s="2"/>
      <c r="H477" s="1"/>
      <c r="I477" s="2"/>
      <c r="J477" s="1"/>
      <c r="K477" s="2"/>
    </row>
    <row r="478" spans="1:11" ht="16" thickBot="1" x14ac:dyDescent="0.25">
      <c r="A478" s="3"/>
      <c r="B478" s="4"/>
      <c r="C478" s="4"/>
      <c r="D478" s="4"/>
      <c r="E478" s="4"/>
      <c r="F478" s="4"/>
      <c r="G478" s="5"/>
      <c r="H478" s="1"/>
      <c r="I478" s="2"/>
      <c r="J478" s="1"/>
      <c r="K478" s="2"/>
    </row>
    <row r="479" spans="1:11" ht="16" thickBot="1" x14ac:dyDescent="0.25">
      <c r="A479" s="3"/>
      <c r="B479" s="4"/>
      <c r="C479" s="4"/>
      <c r="D479" s="4"/>
      <c r="E479" s="4"/>
      <c r="F479" s="4"/>
      <c r="G479" s="4"/>
      <c r="H479" s="3"/>
      <c r="I479" s="5"/>
      <c r="J479" s="3"/>
      <c r="K479" s="5"/>
    </row>
  </sheetData>
  <mergeCells count="5">
    <mergeCell ref="A3:G3"/>
    <mergeCell ref="A2:K2"/>
    <mergeCell ref="A1:K1"/>
    <mergeCell ref="H3:I3"/>
    <mergeCell ref="J3:K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2EDD0-B11C-40A6-84FE-2942F36F9C5A}">
  <sheetPr codeName="Sheet11">
    <tabColor theme="7"/>
  </sheetPr>
  <dimension ref="A1:H500"/>
  <sheetViews>
    <sheetView workbookViewId="0">
      <selection activeCell="A2" sqref="A2:H2"/>
    </sheetView>
  </sheetViews>
  <sheetFormatPr baseColWidth="10" defaultColWidth="8.83203125" defaultRowHeight="15" x14ac:dyDescent="0.2"/>
  <cols>
    <col min="1" max="1" width="17.83203125" bestFit="1" customWidth="1"/>
    <col min="2" max="2" width="5" bestFit="1" customWidth="1"/>
    <col min="3" max="3" width="17" customWidth="1"/>
    <col min="4" max="4" width="40.6640625" customWidth="1"/>
    <col min="5" max="5" width="26.1640625" customWidth="1"/>
    <col min="6" max="6" width="18.83203125" bestFit="1" customWidth="1"/>
    <col min="7" max="7" width="30.33203125" bestFit="1" customWidth="1"/>
    <col min="8" max="8" width="27.5" bestFit="1" customWidth="1"/>
  </cols>
  <sheetData>
    <row r="1" spans="1:8" ht="16" thickBot="1" x14ac:dyDescent="0.25">
      <c r="A1" s="414" t="s">
        <v>4</v>
      </c>
      <c r="B1" s="415"/>
      <c r="C1" s="415"/>
      <c r="D1" s="415"/>
      <c r="E1" s="415"/>
      <c r="F1" s="415"/>
      <c r="G1" s="415"/>
      <c r="H1" s="462"/>
    </row>
    <row r="2" spans="1:8" ht="38" thickBot="1" x14ac:dyDescent="0.5">
      <c r="A2" s="463" t="s">
        <v>87</v>
      </c>
      <c r="B2" s="464"/>
      <c r="C2" s="464"/>
      <c r="D2" s="464"/>
      <c r="E2" s="464"/>
      <c r="F2" s="464"/>
      <c r="G2" s="464"/>
      <c r="H2" s="465"/>
    </row>
    <row r="3" spans="1:8" x14ac:dyDescent="0.2">
      <c r="A3" s="15" t="s">
        <v>79</v>
      </c>
      <c r="B3" s="16" t="s">
        <v>80</v>
      </c>
      <c r="C3" s="16" t="s">
        <v>81</v>
      </c>
      <c r="D3" s="16" t="s">
        <v>82</v>
      </c>
      <c r="E3" s="16" t="s">
        <v>83</v>
      </c>
      <c r="F3" s="16" t="s">
        <v>84</v>
      </c>
      <c r="G3" s="16" t="s">
        <v>85</v>
      </c>
      <c r="H3" s="17" t="s">
        <v>86</v>
      </c>
    </row>
    <row r="4" spans="1:8" x14ac:dyDescent="0.2">
      <c r="A4" s="301"/>
      <c r="B4" s="56"/>
      <c r="C4" s="102"/>
      <c r="D4" s="56"/>
      <c r="E4" s="56"/>
      <c r="F4" s="56"/>
      <c r="G4" s="56"/>
      <c r="H4" s="56"/>
    </row>
    <row r="5" spans="1:8" x14ac:dyDescent="0.2">
      <c r="A5" s="1"/>
      <c r="H5" s="2"/>
    </row>
    <row r="6" spans="1:8" x14ac:dyDescent="0.2">
      <c r="A6" s="1"/>
      <c r="H6" s="2"/>
    </row>
    <row r="7" spans="1:8" x14ac:dyDescent="0.2">
      <c r="A7" s="1"/>
      <c r="H7" s="2"/>
    </row>
    <row r="8" spans="1:8" x14ac:dyDescent="0.2">
      <c r="A8" s="1"/>
      <c r="H8" s="2"/>
    </row>
    <row r="9" spans="1:8" x14ac:dyDescent="0.2">
      <c r="A9" s="1"/>
      <c r="H9" s="2"/>
    </row>
    <row r="10" spans="1:8" x14ac:dyDescent="0.2">
      <c r="A10" s="1"/>
      <c r="H10" s="2"/>
    </row>
    <row r="11" spans="1:8" x14ac:dyDescent="0.2">
      <c r="A11" s="1"/>
      <c r="H11" s="2"/>
    </row>
    <row r="12" spans="1:8" x14ac:dyDescent="0.2">
      <c r="A12" s="1"/>
      <c r="H12" s="2"/>
    </row>
    <row r="13" spans="1:8" x14ac:dyDescent="0.2">
      <c r="A13" s="1"/>
      <c r="H13" s="2"/>
    </row>
    <row r="14" spans="1:8" x14ac:dyDescent="0.2">
      <c r="A14" s="1"/>
      <c r="H14" s="2"/>
    </row>
    <row r="15" spans="1:8" x14ac:dyDescent="0.2">
      <c r="A15" s="1"/>
      <c r="H15" s="2"/>
    </row>
    <row r="16" spans="1:8" x14ac:dyDescent="0.2">
      <c r="A16" s="1"/>
      <c r="H16" s="2"/>
    </row>
    <row r="17" spans="1:8" x14ac:dyDescent="0.2">
      <c r="A17" s="1"/>
      <c r="H17" s="2"/>
    </row>
    <row r="18" spans="1:8" x14ac:dyDescent="0.2">
      <c r="A18" s="1"/>
      <c r="H18" s="2"/>
    </row>
    <row r="19" spans="1:8" x14ac:dyDescent="0.2">
      <c r="A19" s="1"/>
      <c r="H19" s="2"/>
    </row>
    <row r="20" spans="1:8" x14ac:dyDescent="0.2">
      <c r="A20" s="1"/>
      <c r="H20" s="2"/>
    </row>
    <row r="21" spans="1:8" x14ac:dyDescent="0.2">
      <c r="A21" s="1"/>
      <c r="H21" s="2"/>
    </row>
    <row r="22" spans="1:8" x14ac:dyDescent="0.2">
      <c r="A22" s="1"/>
      <c r="H22" s="2"/>
    </row>
    <row r="23" spans="1:8" x14ac:dyDescent="0.2">
      <c r="A23" s="1"/>
      <c r="H23" s="2"/>
    </row>
    <row r="24" spans="1:8" x14ac:dyDescent="0.2">
      <c r="A24" s="1"/>
      <c r="H24" s="2"/>
    </row>
    <row r="25" spans="1:8" x14ac:dyDescent="0.2">
      <c r="A25" s="1"/>
      <c r="H25" s="2"/>
    </row>
    <row r="26" spans="1:8" x14ac:dyDescent="0.2">
      <c r="A26" s="1"/>
      <c r="H26" s="2"/>
    </row>
    <row r="27" spans="1:8" x14ac:dyDescent="0.2">
      <c r="A27" s="1"/>
      <c r="H27" s="2"/>
    </row>
    <row r="28" spans="1:8" x14ac:dyDescent="0.2">
      <c r="A28" s="1"/>
      <c r="H28" s="2"/>
    </row>
    <row r="29" spans="1:8" x14ac:dyDescent="0.2">
      <c r="A29" s="1"/>
      <c r="H29" s="2"/>
    </row>
    <row r="30" spans="1:8" x14ac:dyDescent="0.2">
      <c r="A30" s="1"/>
      <c r="H30" s="2"/>
    </row>
    <row r="31" spans="1:8" x14ac:dyDescent="0.2">
      <c r="A31" s="1"/>
      <c r="H31" s="2"/>
    </row>
    <row r="32" spans="1:8" x14ac:dyDescent="0.2">
      <c r="A32" s="1"/>
      <c r="H32" s="2"/>
    </row>
    <row r="33" spans="1:8" x14ac:dyDescent="0.2">
      <c r="A33" s="1"/>
      <c r="H33" s="2"/>
    </row>
    <row r="34" spans="1:8" x14ac:dyDescent="0.2">
      <c r="A34" s="1"/>
      <c r="H34" s="2"/>
    </row>
    <row r="35" spans="1:8" x14ac:dyDescent="0.2">
      <c r="A35" s="1"/>
      <c r="H35" s="2"/>
    </row>
    <row r="36" spans="1:8" x14ac:dyDescent="0.2">
      <c r="A36" s="1"/>
      <c r="H36" s="2"/>
    </row>
    <row r="37" spans="1:8" x14ac:dyDescent="0.2">
      <c r="A37" s="1"/>
      <c r="H37" s="2"/>
    </row>
    <row r="38" spans="1:8" x14ac:dyDescent="0.2">
      <c r="A38" s="1"/>
      <c r="H38" s="2"/>
    </row>
    <row r="39" spans="1:8" x14ac:dyDescent="0.2">
      <c r="A39" s="1"/>
      <c r="H39" s="2"/>
    </row>
    <row r="40" spans="1:8" x14ac:dyDescent="0.2">
      <c r="A40" s="1"/>
      <c r="H40" s="2"/>
    </row>
    <row r="41" spans="1:8" x14ac:dyDescent="0.2">
      <c r="A41" s="1"/>
      <c r="H41" s="2"/>
    </row>
    <row r="42" spans="1:8" x14ac:dyDescent="0.2">
      <c r="A42" s="1"/>
      <c r="H42" s="2"/>
    </row>
    <row r="43" spans="1:8" x14ac:dyDescent="0.2">
      <c r="A43" s="1"/>
      <c r="H43" s="2"/>
    </row>
    <row r="44" spans="1:8" x14ac:dyDescent="0.2">
      <c r="A44" s="1"/>
      <c r="H44" s="2"/>
    </row>
    <row r="45" spans="1:8" x14ac:dyDescent="0.2">
      <c r="A45" s="1"/>
      <c r="H45" s="2"/>
    </row>
    <row r="46" spans="1:8" x14ac:dyDescent="0.2">
      <c r="A46" s="1"/>
      <c r="H46" s="2"/>
    </row>
    <row r="47" spans="1:8" x14ac:dyDescent="0.2">
      <c r="A47" s="1"/>
      <c r="H47" s="2"/>
    </row>
    <row r="48" spans="1:8" x14ac:dyDescent="0.2">
      <c r="A48" s="1"/>
      <c r="H48" s="2"/>
    </row>
    <row r="49" spans="1:8" x14ac:dyDescent="0.2">
      <c r="A49" s="1"/>
      <c r="H49" s="2"/>
    </row>
    <row r="50" spans="1:8" x14ac:dyDescent="0.2">
      <c r="A50" s="1"/>
      <c r="H50" s="2"/>
    </row>
    <row r="51" spans="1:8" x14ac:dyDescent="0.2">
      <c r="A51" s="1"/>
      <c r="H51" s="2"/>
    </row>
    <row r="52" spans="1:8" x14ac:dyDescent="0.2">
      <c r="A52" s="1"/>
      <c r="H52" s="2"/>
    </row>
    <row r="53" spans="1:8" x14ac:dyDescent="0.2">
      <c r="A53" s="1"/>
      <c r="H53" s="2"/>
    </row>
    <row r="54" spans="1:8" x14ac:dyDescent="0.2">
      <c r="A54" s="1"/>
      <c r="H54" s="2"/>
    </row>
    <row r="55" spans="1:8" x14ac:dyDescent="0.2">
      <c r="A55" s="1"/>
      <c r="H55" s="2"/>
    </row>
    <row r="56" spans="1:8" x14ac:dyDescent="0.2">
      <c r="A56" s="1"/>
      <c r="H56" s="2"/>
    </row>
    <row r="57" spans="1:8" x14ac:dyDescent="0.2">
      <c r="A57" s="1"/>
      <c r="H57" s="2"/>
    </row>
    <row r="58" spans="1:8" x14ac:dyDescent="0.2">
      <c r="A58" s="1"/>
      <c r="H58" s="2"/>
    </row>
    <row r="59" spans="1:8" x14ac:dyDescent="0.2">
      <c r="A59" s="1"/>
      <c r="H59" s="2"/>
    </row>
    <row r="60" spans="1:8" x14ac:dyDescent="0.2">
      <c r="A60" s="1"/>
      <c r="H60" s="2"/>
    </row>
    <row r="61" spans="1:8" x14ac:dyDescent="0.2">
      <c r="A61" s="1"/>
      <c r="H61" s="2"/>
    </row>
    <row r="62" spans="1:8" x14ac:dyDescent="0.2">
      <c r="A62" s="1"/>
      <c r="H62" s="2"/>
    </row>
    <row r="63" spans="1:8" x14ac:dyDescent="0.2">
      <c r="A63" s="1"/>
      <c r="H63" s="2"/>
    </row>
    <row r="64" spans="1:8" x14ac:dyDescent="0.2">
      <c r="A64" s="1"/>
      <c r="H64" s="2"/>
    </row>
    <row r="65" spans="1:8" x14ac:dyDescent="0.2">
      <c r="A65" s="1"/>
      <c r="H65" s="2"/>
    </row>
    <row r="66" spans="1:8" x14ac:dyDescent="0.2">
      <c r="A66" s="1"/>
      <c r="H66" s="2"/>
    </row>
    <row r="67" spans="1:8" x14ac:dyDescent="0.2">
      <c r="A67" s="1"/>
      <c r="H67" s="2"/>
    </row>
    <row r="68" spans="1:8" x14ac:dyDescent="0.2">
      <c r="A68" s="1"/>
      <c r="H68" s="2"/>
    </row>
    <row r="69" spans="1:8" x14ac:dyDescent="0.2">
      <c r="A69" s="1"/>
      <c r="H69" s="2"/>
    </row>
    <row r="70" spans="1:8" x14ac:dyDescent="0.2">
      <c r="A70" s="1"/>
      <c r="H70" s="2"/>
    </row>
    <row r="71" spans="1:8" x14ac:dyDescent="0.2">
      <c r="A71" s="1"/>
      <c r="H71" s="2"/>
    </row>
    <row r="72" spans="1:8" x14ac:dyDescent="0.2">
      <c r="A72" s="1"/>
      <c r="H72" s="2"/>
    </row>
    <row r="73" spans="1:8" x14ac:dyDescent="0.2">
      <c r="A73" s="1"/>
      <c r="H73" s="2"/>
    </row>
    <row r="74" spans="1:8" x14ac:dyDescent="0.2">
      <c r="A74" s="1"/>
      <c r="H74" s="2"/>
    </row>
    <row r="75" spans="1:8" x14ac:dyDescent="0.2">
      <c r="A75" s="1"/>
      <c r="H75" s="2"/>
    </row>
    <row r="76" spans="1:8" x14ac:dyDescent="0.2">
      <c r="A76" s="1"/>
      <c r="H76" s="2"/>
    </row>
    <row r="77" spans="1:8" x14ac:dyDescent="0.2">
      <c r="A77" s="1"/>
      <c r="H77" s="2"/>
    </row>
    <row r="78" spans="1:8" x14ac:dyDescent="0.2">
      <c r="A78" s="1"/>
      <c r="H78" s="2"/>
    </row>
    <row r="79" spans="1:8" x14ac:dyDescent="0.2">
      <c r="A79" s="1"/>
      <c r="H79" s="2"/>
    </row>
    <row r="80" spans="1:8" x14ac:dyDescent="0.2">
      <c r="A80" s="1"/>
      <c r="H80" s="2"/>
    </row>
    <row r="81" spans="1:8" x14ac:dyDescent="0.2">
      <c r="A81" s="1"/>
      <c r="H81" s="2"/>
    </row>
    <row r="82" spans="1:8" x14ac:dyDescent="0.2">
      <c r="A82" s="1"/>
      <c r="H82" s="2"/>
    </row>
    <row r="83" spans="1:8" x14ac:dyDescent="0.2">
      <c r="A83" s="1"/>
      <c r="H83" s="2"/>
    </row>
    <row r="84" spans="1:8" x14ac:dyDescent="0.2">
      <c r="A84" s="1"/>
      <c r="H84" s="2"/>
    </row>
    <row r="85" spans="1:8" x14ac:dyDescent="0.2">
      <c r="A85" s="1"/>
      <c r="H85" s="2"/>
    </row>
    <row r="86" spans="1:8" x14ac:dyDescent="0.2">
      <c r="A86" s="1"/>
      <c r="H86" s="2"/>
    </row>
    <row r="87" spans="1:8" x14ac:dyDescent="0.2">
      <c r="A87" s="1"/>
      <c r="H87" s="2"/>
    </row>
    <row r="88" spans="1:8" x14ac:dyDescent="0.2">
      <c r="A88" s="1"/>
      <c r="H88" s="2"/>
    </row>
    <row r="89" spans="1:8" x14ac:dyDescent="0.2">
      <c r="A89" s="1"/>
      <c r="H89" s="2"/>
    </row>
    <row r="90" spans="1:8" x14ac:dyDescent="0.2">
      <c r="A90" s="1"/>
      <c r="H90" s="2"/>
    </row>
    <row r="91" spans="1:8" x14ac:dyDescent="0.2">
      <c r="A91" s="1"/>
      <c r="H91" s="2"/>
    </row>
    <row r="92" spans="1:8" x14ac:dyDescent="0.2">
      <c r="A92" s="1"/>
      <c r="H92" s="2"/>
    </row>
    <row r="93" spans="1:8" x14ac:dyDescent="0.2">
      <c r="A93" s="1"/>
      <c r="H93" s="2"/>
    </row>
    <row r="94" spans="1:8" x14ac:dyDescent="0.2">
      <c r="A94" s="1"/>
      <c r="H94" s="2"/>
    </row>
    <row r="95" spans="1:8" x14ac:dyDescent="0.2">
      <c r="A95" s="1"/>
      <c r="H95" s="2"/>
    </row>
    <row r="96" spans="1:8" x14ac:dyDescent="0.2">
      <c r="A96" s="1"/>
      <c r="H96" s="2"/>
    </row>
    <row r="97" spans="1:8" x14ac:dyDescent="0.2">
      <c r="A97" s="1"/>
      <c r="H97" s="2"/>
    </row>
    <row r="98" spans="1:8" x14ac:dyDescent="0.2">
      <c r="A98" s="1"/>
      <c r="H98" s="2"/>
    </row>
    <row r="99" spans="1:8" x14ac:dyDescent="0.2">
      <c r="A99" s="1"/>
      <c r="H99" s="2"/>
    </row>
    <row r="100" spans="1:8" x14ac:dyDescent="0.2">
      <c r="A100" s="1"/>
      <c r="H100" s="2"/>
    </row>
    <row r="101" spans="1:8" x14ac:dyDescent="0.2">
      <c r="A101" s="1"/>
      <c r="H101" s="2"/>
    </row>
    <row r="102" spans="1:8" x14ac:dyDescent="0.2">
      <c r="A102" s="1"/>
      <c r="H102" s="2"/>
    </row>
    <row r="103" spans="1:8" x14ac:dyDescent="0.2">
      <c r="A103" s="1"/>
      <c r="H103" s="2"/>
    </row>
    <row r="104" spans="1:8" x14ac:dyDescent="0.2">
      <c r="A104" s="1"/>
      <c r="H104" s="2"/>
    </row>
    <row r="105" spans="1:8" x14ac:dyDescent="0.2">
      <c r="A105" s="1"/>
      <c r="H105" s="2"/>
    </row>
    <row r="106" spans="1:8" x14ac:dyDescent="0.2">
      <c r="A106" s="1"/>
      <c r="H106" s="2"/>
    </row>
    <row r="107" spans="1:8" x14ac:dyDescent="0.2">
      <c r="A107" s="1"/>
      <c r="H107" s="2"/>
    </row>
    <row r="108" spans="1:8" x14ac:dyDescent="0.2">
      <c r="A108" s="1"/>
      <c r="H108" s="2"/>
    </row>
    <row r="109" spans="1:8" x14ac:dyDescent="0.2">
      <c r="A109" s="1"/>
      <c r="H109" s="2"/>
    </row>
    <row r="110" spans="1:8" x14ac:dyDescent="0.2">
      <c r="A110" s="1"/>
      <c r="H110" s="2"/>
    </row>
    <row r="111" spans="1:8" x14ac:dyDescent="0.2">
      <c r="A111" s="1"/>
      <c r="H111" s="2"/>
    </row>
    <row r="112" spans="1:8" x14ac:dyDescent="0.2">
      <c r="A112" s="1"/>
      <c r="H112" s="2"/>
    </row>
    <row r="113" spans="1:8" x14ac:dyDescent="0.2">
      <c r="A113" s="1"/>
      <c r="H113" s="2"/>
    </row>
    <row r="114" spans="1:8" x14ac:dyDescent="0.2">
      <c r="A114" s="1"/>
      <c r="H114" s="2"/>
    </row>
    <row r="115" spans="1:8" x14ac:dyDescent="0.2">
      <c r="A115" s="1"/>
      <c r="H115" s="2"/>
    </row>
    <row r="116" spans="1:8" x14ac:dyDescent="0.2">
      <c r="A116" s="1"/>
      <c r="H116" s="2"/>
    </row>
    <row r="117" spans="1:8" x14ac:dyDescent="0.2">
      <c r="A117" s="1"/>
      <c r="H117" s="2"/>
    </row>
    <row r="118" spans="1:8" x14ac:dyDescent="0.2">
      <c r="A118" s="1"/>
      <c r="H118" s="2"/>
    </row>
    <row r="119" spans="1:8" x14ac:dyDescent="0.2">
      <c r="A119" s="1"/>
      <c r="H119" s="2"/>
    </row>
    <row r="120" spans="1:8" x14ac:dyDescent="0.2">
      <c r="A120" s="1"/>
      <c r="H120" s="2"/>
    </row>
    <row r="121" spans="1:8" x14ac:dyDescent="0.2">
      <c r="A121" s="1"/>
      <c r="H121" s="2"/>
    </row>
    <row r="122" spans="1:8" x14ac:dyDescent="0.2">
      <c r="A122" s="1"/>
      <c r="H122" s="2"/>
    </row>
    <row r="123" spans="1:8" x14ac:dyDescent="0.2">
      <c r="A123" s="1"/>
      <c r="H123" s="2"/>
    </row>
    <row r="124" spans="1:8" x14ac:dyDescent="0.2">
      <c r="A124" s="1"/>
      <c r="H124" s="2"/>
    </row>
    <row r="125" spans="1:8" x14ac:dyDescent="0.2">
      <c r="A125" s="1"/>
      <c r="H125" s="2"/>
    </row>
    <row r="126" spans="1:8" x14ac:dyDescent="0.2">
      <c r="A126" s="1"/>
      <c r="H126" s="2"/>
    </row>
    <row r="127" spans="1:8" x14ac:dyDescent="0.2">
      <c r="A127" s="1"/>
      <c r="H127" s="2"/>
    </row>
    <row r="128" spans="1:8" x14ac:dyDescent="0.2">
      <c r="A128" s="1"/>
      <c r="H128" s="2"/>
    </row>
    <row r="129" spans="1:8" x14ac:dyDescent="0.2">
      <c r="A129" s="1"/>
      <c r="H129" s="2"/>
    </row>
    <row r="130" spans="1:8" x14ac:dyDescent="0.2">
      <c r="A130" s="1"/>
      <c r="H130" s="2"/>
    </row>
    <row r="131" spans="1:8" x14ac:dyDescent="0.2">
      <c r="A131" s="1"/>
      <c r="H131" s="2"/>
    </row>
    <row r="132" spans="1:8" x14ac:dyDescent="0.2">
      <c r="A132" s="1"/>
      <c r="H132" s="2"/>
    </row>
    <row r="133" spans="1:8" x14ac:dyDescent="0.2">
      <c r="A133" s="1"/>
      <c r="H133" s="2"/>
    </row>
    <row r="134" spans="1:8" x14ac:dyDescent="0.2">
      <c r="A134" s="1"/>
      <c r="H134" s="2"/>
    </row>
    <row r="135" spans="1:8" x14ac:dyDescent="0.2">
      <c r="A135" s="1"/>
      <c r="H135" s="2"/>
    </row>
    <row r="136" spans="1:8" x14ac:dyDescent="0.2">
      <c r="A136" s="1"/>
      <c r="H136" s="2"/>
    </row>
    <row r="137" spans="1:8" x14ac:dyDescent="0.2">
      <c r="A137" s="1"/>
      <c r="H137" s="2"/>
    </row>
    <row r="138" spans="1:8" x14ac:dyDescent="0.2">
      <c r="A138" s="1"/>
      <c r="H138" s="2"/>
    </row>
    <row r="139" spans="1:8" x14ac:dyDescent="0.2">
      <c r="A139" s="1"/>
      <c r="H139" s="2"/>
    </row>
    <row r="140" spans="1:8" x14ac:dyDescent="0.2">
      <c r="A140" s="1"/>
      <c r="H140" s="2"/>
    </row>
    <row r="141" spans="1:8" x14ac:dyDescent="0.2">
      <c r="A141" s="1"/>
      <c r="H141" s="2"/>
    </row>
    <row r="142" spans="1:8" x14ac:dyDescent="0.2">
      <c r="A142" s="1"/>
      <c r="H142" s="2"/>
    </row>
    <row r="143" spans="1:8" x14ac:dyDescent="0.2">
      <c r="A143" s="1"/>
      <c r="H143" s="2"/>
    </row>
    <row r="144" spans="1:8" x14ac:dyDescent="0.2">
      <c r="A144" s="1"/>
      <c r="H144" s="2"/>
    </row>
    <row r="145" spans="1:8" x14ac:dyDescent="0.2">
      <c r="A145" s="1"/>
      <c r="H145" s="2"/>
    </row>
    <row r="146" spans="1:8" x14ac:dyDescent="0.2">
      <c r="A146" s="1"/>
      <c r="H146" s="2"/>
    </row>
    <row r="147" spans="1:8" x14ac:dyDescent="0.2">
      <c r="A147" s="1"/>
      <c r="H147" s="2"/>
    </row>
    <row r="148" spans="1:8" x14ac:dyDescent="0.2">
      <c r="A148" s="1"/>
      <c r="H148" s="2"/>
    </row>
    <row r="149" spans="1:8" x14ac:dyDescent="0.2">
      <c r="A149" s="1"/>
      <c r="H149" s="2"/>
    </row>
    <row r="150" spans="1:8" x14ac:dyDescent="0.2">
      <c r="A150" s="1"/>
      <c r="H150" s="2"/>
    </row>
    <row r="151" spans="1:8" x14ac:dyDescent="0.2">
      <c r="A151" s="1"/>
      <c r="H151" s="2"/>
    </row>
    <row r="152" spans="1:8" x14ac:dyDescent="0.2">
      <c r="A152" s="1"/>
      <c r="H152" s="2"/>
    </row>
    <row r="153" spans="1:8" x14ac:dyDescent="0.2">
      <c r="A153" s="1"/>
      <c r="H153" s="2"/>
    </row>
    <row r="154" spans="1:8" x14ac:dyDescent="0.2">
      <c r="A154" s="1"/>
      <c r="H154" s="2"/>
    </row>
    <row r="155" spans="1:8" x14ac:dyDescent="0.2">
      <c r="A155" s="1"/>
      <c r="H155" s="2"/>
    </row>
    <row r="156" spans="1:8" x14ac:dyDescent="0.2">
      <c r="A156" s="1"/>
      <c r="H156" s="2"/>
    </row>
    <row r="157" spans="1:8" x14ac:dyDescent="0.2">
      <c r="A157" s="1"/>
      <c r="H157" s="2"/>
    </row>
    <row r="158" spans="1:8" x14ac:dyDescent="0.2">
      <c r="A158" s="1"/>
      <c r="H158" s="2"/>
    </row>
    <row r="159" spans="1:8" x14ac:dyDescent="0.2">
      <c r="A159" s="1"/>
      <c r="H159" s="2"/>
    </row>
    <row r="160" spans="1:8" x14ac:dyDescent="0.2">
      <c r="A160" s="1"/>
      <c r="H160" s="2"/>
    </row>
    <row r="161" spans="1:8" x14ac:dyDescent="0.2">
      <c r="A161" s="1"/>
      <c r="H161" s="2"/>
    </row>
    <row r="162" spans="1:8" x14ac:dyDescent="0.2">
      <c r="A162" s="1"/>
      <c r="H162" s="2"/>
    </row>
    <row r="163" spans="1:8" x14ac:dyDescent="0.2">
      <c r="A163" s="1"/>
      <c r="H163" s="2"/>
    </row>
    <row r="164" spans="1:8" x14ac:dyDescent="0.2">
      <c r="A164" s="1"/>
      <c r="H164" s="2"/>
    </row>
    <row r="165" spans="1:8" x14ac:dyDescent="0.2">
      <c r="A165" s="1"/>
      <c r="H165" s="2"/>
    </row>
    <row r="166" spans="1:8" x14ac:dyDescent="0.2">
      <c r="A166" s="1"/>
      <c r="H166" s="2"/>
    </row>
    <row r="167" spans="1:8" x14ac:dyDescent="0.2">
      <c r="A167" s="1"/>
      <c r="H167" s="2"/>
    </row>
    <row r="168" spans="1:8" x14ac:dyDescent="0.2">
      <c r="A168" s="1"/>
      <c r="H168" s="2"/>
    </row>
    <row r="169" spans="1:8" x14ac:dyDescent="0.2">
      <c r="A169" s="1"/>
      <c r="H169" s="2"/>
    </row>
    <row r="170" spans="1:8" x14ac:dyDescent="0.2">
      <c r="A170" s="1"/>
      <c r="H170" s="2"/>
    </row>
    <row r="171" spans="1:8" x14ac:dyDescent="0.2">
      <c r="A171" s="1"/>
      <c r="H171" s="2"/>
    </row>
    <row r="172" spans="1:8" x14ac:dyDescent="0.2">
      <c r="A172" s="1"/>
      <c r="H172" s="2"/>
    </row>
    <row r="173" spans="1:8" x14ac:dyDescent="0.2">
      <c r="A173" s="1"/>
      <c r="H173" s="2"/>
    </row>
    <row r="174" spans="1:8" x14ac:dyDescent="0.2">
      <c r="A174" s="1"/>
      <c r="H174" s="2"/>
    </row>
    <row r="175" spans="1:8" x14ac:dyDescent="0.2">
      <c r="A175" s="1"/>
      <c r="H175" s="2"/>
    </row>
    <row r="176" spans="1:8" x14ac:dyDescent="0.2">
      <c r="A176" s="1"/>
      <c r="H176" s="2"/>
    </row>
    <row r="177" spans="1:8" x14ac:dyDescent="0.2">
      <c r="A177" s="1"/>
      <c r="H177" s="2"/>
    </row>
    <row r="178" spans="1:8" x14ac:dyDescent="0.2">
      <c r="A178" s="1"/>
      <c r="H178" s="2"/>
    </row>
    <row r="179" spans="1:8" x14ac:dyDescent="0.2">
      <c r="A179" s="1"/>
      <c r="H179" s="2"/>
    </row>
    <row r="180" spans="1:8" x14ac:dyDescent="0.2">
      <c r="A180" s="1"/>
      <c r="H180" s="2"/>
    </row>
    <row r="181" spans="1:8" x14ac:dyDescent="0.2">
      <c r="A181" s="1"/>
      <c r="H181" s="2"/>
    </row>
    <row r="182" spans="1:8" x14ac:dyDescent="0.2">
      <c r="A182" s="1"/>
      <c r="H182" s="2"/>
    </row>
    <row r="183" spans="1:8" x14ac:dyDescent="0.2">
      <c r="A183" s="1"/>
      <c r="H183" s="2"/>
    </row>
    <row r="184" spans="1:8" x14ac:dyDescent="0.2">
      <c r="A184" s="1"/>
      <c r="H184" s="2"/>
    </row>
    <row r="185" spans="1:8" x14ac:dyDescent="0.2">
      <c r="A185" s="1"/>
      <c r="H185" s="2"/>
    </row>
    <row r="186" spans="1:8" x14ac:dyDescent="0.2">
      <c r="A186" s="1"/>
      <c r="H186" s="2"/>
    </row>
    <row r="187" spans="1:8" x14ac:dyDescent="0.2">
      <c r="A187" s="1"/>
      <c r="H187" s="2"/>
    </row>
    <row r="188" spans="1:8" x14ac:dyDescent="0.2">
      <c r="A188" s="1"/>
      <c r="H188" s="2"/>
    </row>
    <row r="189" spans="1:8" x14ac:dyDescent="0.2">
      <c r="A189" s="1"/>
      <c r="H189" s="2"/>
    </row>
    <row r="190" spans="1:8" x14ac:dyDescent="0.2">
      <c r="A190" s="1"/>
      <c r="H190" s="2"/>
    </row>
    <row r="191" spans="1:8" x14ac:dyDescent="0.2">
      <c r="A191" s="1"/>
      <c r="H191" s="2"/>
    </row>
    <row r="192" spans="1:8" x14ac:dyDescent="0.2">
      <c r="A192" s="1"/>
      <c r="H192" s="2"/>
    </row>
    <row r="193" spans="1:8" x14ac:dyDescent="0.2">
      <c r="A193" s="1"/>
      <c r="H193" s="2"/>
    </row>
    <row r="194" spans="1:8" x14ac:dyDescent="0.2">
      <c r="A194" s="1"/>
      <c r="H194" s="2"/>
    </row>
    <row r="195" spans="1:8" x14ac:dyDescent="0.2">
      <c r="A195" s="1"/>
      <c r="H195" s="2"/>
    </row>
    <row r="196" spans="1:8" x14ac:dyDescent="0.2">
      <c r="A196" s="1"/>
      <c r="H196" s="2"/>
    </row>
    <row r="197" spans="1:8" x14ac:dyDescent="0.2">
      <c r="A197" s="1"/>
      <c r="H197" s="2"/>
    </row>
    <row r="198" spans="1:8" x14ac:dyDescent="0.2">
      <c r="A198" s="1"/>
      <c r="H198" s="2"/>
    </row>
    <row r="199" spans="1:8" x14ac:dyDescent="0.2">
      <c r="A199" s="1"/>
      <c r="H199" s="2"/>
    </row>
    <row r="200" spans="1:8" x14ac:dyDescent="0.2">
      <c r="A200" s="1"/>
      <c r="H200" s="2"/>
    </row>
    <row r="201" spans="1:8" x14ac:dyDescent="0.2">
      <c r="A201" s="1"/>
      <c r="H201" s="2"/>
    </row>
    <row r="202" spans="1:8" x14ac:dyDescent="0.2">
      <c r="A202" s="1"/>
      <c r="H202" s="2"/>
    </row>
    <row r="203" spans="1:8" x14ac:dyDescent="0.2">
      <c r="A203" s="1"/>
      <c r="H203" s="2"/>
    </row>
    <row r="204" spans="1:8" x14ac:dyDescent="0.2">
      <c r="A204" s="1"/>
      <c r="H204" s="2"/>
    </row>
    <row r="205" spans="1:8" x14ac:dyDescent="0.2">
      <c r="A205" s="1"/>
      <c r="H205" s="2"/>
    </row>
    <row r="206" spans="1:8" x14ac:dyDescent="0.2">
      <c r="A206" s="1"/>
      <c r="H206" s="2"/>
    </row>
    <row r="207" spans="1:8" x14ac:dyDescent="0.2">
      <c r="A207" s="1"/>
      <c r="H207" s="2"/>
    </row>
    <row r="208" spans="1:8" x14ac:dyDescent="0.2">
      <c r="A208" s="1"/>
      <c r="H208" s="2"/>
    </row>
    <row r="209" spans="1:8" x14ac:dyDescent="0.2">
      <c r="A209" s="1"/>
      <c r="H209" s="2"/>
    </row>
    <row r="210" spans="1:8" x14ac:dyDescent="0.2">
      <c r="A210" s="1"/>
      <c r="H210" s="2"/>
    </row>
    <row r="211" spans="1:8" x14ac:dyDescent="0.2">
      <c r="A211" s="1"/>
      <c r="H211" s="2"/>
    </row>
    <row r="212" spans="1:8" x14ac:dyDescent="0.2">
      <c r="A212" s="1"/>
      <c r="H212" s="2"/>
    </row>
    <row r="213" spans="1:8" x14ac:dyDescent="0.2">
      <c r="A213" s="1"/>
      <c r="H213" s="2"/>
    </row>
    <row r="214" spans="1:8" x14ac:dyDescent="0.2">
      <c r="A214" s="1"/>
      <c r="H214" s="2"/>
    </row>
    <row r="215" spans="1:8" x14ac:dyDescent="0.2">
      <c r="A215" s="1"/>
      <c r="H215" s="2"/>
    </row>
    <row r="216" spans="1:8" x14ac:dyDescent="0.2">
      <c r="A216" s="1"/>
      <c r="H216" s="2"/>
    </row>
    <row r="217" spans="1:8" x14ac:dyDescent="0.2">
      <c r="A217" s="1"/>
      <c r="H217" s="2"/>
    </row>
    <row r="218" spans="1:8" x14ac:dyDescent="0.2">
      <c r="A218" s="1"/>
      <c r="H218" s="2"/>
    </row>
    <row r="219" spans="1:8" x14ac:dyDescent="0.2">
      <c r="A219" s="1"/>
      <c r="H219" s="2"/>
    </row>
    <row r="220" spans="1:8" x14ac:dyDescent="0.2">
      <c r="A220" s="1"/>
      <c r="H220" s="2"/>
    </row>
    <row r="221" spans="1:8" x14ac:dyDescent="0.2">
      <c r="A221" s="1"/>
      <c r="H221" s="2"/>
    </row>
    <row r="222" spans="1:8" x14ac:dyDescent="0.2">
      <c r="A222" s="1"/>
      <c r="H222" s="2"/>
    </row>
    <row r="223" spans="1:8" x14ac:dyDescent="0.2">
      <c r="A223" s="1"/>
      <c r="H223" s="2"/>
    </row>
    <row r="224" spans="1:8" x14ac:dyDescent="0.2">
      <c r="A224" s="1"/>
      <c r="H224" s="2"/>
    </row>
    <row r="225" spans="1:8" x14ac:dyDescent="0.2">
      <c r="A225" s="1"/>
      <c r="H225" s="2"/>
    </row>
    <row r="226" spans="1:8" x14ac:dyDescent="0.2">
      <c r="A226" s="1"/>
      <c r="H226" s="2"/>
    </row>
    <row r="227" spans="1:8" x14ac:dyDescent="0.2">
      <c r="A227" s="1"/>
      <c r="H227" s="2"/>
    </row>
    <row r="228" spans="1:8" x14ac:dyDescent="0.2">
      <c r="A228" s="1"/>
      <c r="H228" s="2"/>
    </row>
    <row r="229" spans="1:8" x14ac:dyDescent="0.2">
      <c r="A229" s="1"/>
      <c r="H229" s="2"/>
    </row>
    <row r="230" spans="1:8" x14ac:dyDescent="0.2">
      <c r="A230" s="1"/>
      <c r="H230" s="2"/>
    </row>
    <row r="231" spans="1:8" x14ac:dyDescent="0.2">
      <c r="A231" s="1"/>
      <c r="H231" s="2"/>
    </row>
    <row r="232" spans="1:8" x14ac:dyDescent="0.2">
      <c r="A232" s="1"/>
      <c r="H232" s="2"/>
    </row>
    <row r="233" spans="1:8" x14ac:dyDescent="0.2">
      <c r="A233" s="1"/>
      <c r="H233" s="2"/>
    </row>
    <row r="234" spans="1:8" x14ac:dyDescent="0.2">
      <c r="A234" s="1"/>
      <c r="H234" s="2"/>
    </row>
    <row r="235" spans="1:8" x14ac:dyDescent="0.2">
      <c r="A235" s="1"/>
      <c r="H235" s="2"/>
    </row>
    <row r="236" spans="1:8" x14ac:dyDescent="0.2">
      <c r="A236" s="1"/>
      <c r="H236" s="2"/>
    </row>
    <row r="237" spans="1:8" x14ac:dyDescent="0.2">
      <c r="A237" s="1"/>
      <c r="H237" s="2"/>
    </row>
    <row r="238" spans="1:8" x14ac:dyDescent="0.2">
      <c r="A238" s="1"/>
      <c r="H238" s="2"/>
    </row>
    <row r="239" spans="1:8" x14ac:dyDescent="0.2">
      <c r="A239" s="1"/>
      <c r="H239" s="2"/>
    </row>
    <row r="240" spans="1:8" x14ac:dyDescent="0.2">
      <c r="A240" s="1"/>
      <c r="H240" s="2"/>
    </row>
    <row r="241" spans="1:8" x14ac:dyDescent="0.2">
      <c r="A241" s="1"/>
      <c r="H241" s="2"/>
    </row>
    <row r="242" spans="1:8" x14ac:dyDescent="0.2">
      <c r="A242" s="1"/>
      <c r="H242" s="2"/>
    </row>
    <row r="243" spans="1:8" x14ac:dyDescent="0.2">
      <c r="A243" s="1"/>
      <c r="H243" s="2"/>
    </row>
    <row r="244" spans="1:8" x14ac:dyDescent="0.2">
      <c r="A244" s="1"/>
      <c r="H244" s="2"/>
    </row>
    <row r="245" spans="1:8" x14ac:dyDescent="0.2">
      <c r="A245" s="1"/>
      <c r="H245" s="2"/>
    </row>
    <row r="246" spans="1:8" x14ac:dyDescent="0.2">
      <c r="A246" s="1"/>
      <c r="H246" s="2"/>
    </row>
    <row r="247" spans="1:8" x14ac:dyDescent="0.2">
      <c r="A247" s="1"/>
      <c r="H247" s="2"/>
    </row>
    <row r="248" spans="1:8" x14ac:dyDescent="0.2">
      <c r="A248" s="1"/>
      <c r="H248" s="2"/>
    </row>
    <row r="249" spans="1:8" x14ac:dyDescent="0.2">
      <c r="A249" s="1"/>
      <c r="H249" s="2"/>
    </row>
    <row r="250" spans="1:8" x14ac:dyDescent="0.2">
      <c r="A250" s="1"/>
      <c r="H250" s="2"/>
    </row>
    <row r="251" spans="1:8" x14ac:dyDescent="0.2">
      <c r="A251" s="1"/>
      <c r="H251" s="2"/>
    </row>
    <row r="252" spans="1:8" x14ac:dyDescent="0.2">
      <c r="A252" s="1"/>
      <c r="H252" s="2"/>
    </row>
    <row r="253" spans="1:8" x14ac:dyDescent="0.2">
      <c r="A253" s="1"/>
      <c r="H253" s="2"/>
    </row>
    <row r="254" spans="1:8" x14ac:dyDescent="0.2">
      <c r="A254" s="1"/>
      <c r="H254" s="2"/>
    </row>
    <row r="255" spans="1:8" x14ac:dyDescent="0.2">
      <c r="A255" s="1"/>
      <c r="H255" s="2"/>
    </row>
    <row r="256" spans="1:8" x14ac:dyDescent="0.2">
      <c r="A256" s="1"/>
      <c r="H256" s="2"/>
    </row>
    <row r="257" spans="1:8" x14ac:dyDescent="0.2">
      <c r="A257" s="1"/>
      <c r="H257" s="2"/>
    </row>
    <row r="258" spans="1:8" x14ac:dyDescent="0.2">
      <c r="A258" s="1"/>
      <c r="H258" s="2"/>
    </row>
    <row r="259" spans="1:8" x14ac:dyDescent="0.2">
      <c r="A259" s="1"/>
      <c r="H259" s="2"/>
    </row>
    <row r="260" spans="1:8" x14ac:dyDescent="0.2">
      <c r="A260" s="1"/>
      <c r="H260" s="2"/>
    </row>
    <row r="261" spans="1:8" x14ac:dyDescent="0.2">
      <c r="A261" s="1"/>
      <c r="H261" s="2"/>
    </row>
    <row r="262" spans="1:8" x14ac:dyDescent="0.2">
      <c r="A262" s="1"/>
      <c r="H262" s="2"/>
    </row>
    <row r="263" spans="1:8" x14ac:dyDescent="0.2">
      <c r="A263" s="1"/>
      <c r="H263" s="2"/>
    </row>
    <row r="264" spans="1:8" x14ac:dyDescent="0.2">
      <c r="A264" s="1"/>
      <c r="H264" s="2"/>
    </row>
    <row r="265" spans="1:8" x14ac:dyDescent="0.2">
      <c r="A265" s="1"/>
      <c r="H265" s="2"/>
    </row>
    <row r="266" spans="1:8" x14ac:dyDescent="0.2">
      <c r="A266" s="1"/>
      <c r="H266" s="2"/>
    </row>
    <row r="267" spans="1:8" x14ac:dyDescent="0.2">
      <c r="A267" s="1"/>
      <c r="H267" s="2"/>
    </row>
    <row r="268" spans="1:8" x14ac:dyDescent="0.2">
      <c r="A268" s="1"/>
      <c r="H268" s="2"/>
    </row>
    <row r="269" spans="1:8" x14ac:dyDescent="0.2">
      <c r="A269" s="1"/>
      <c r="H269" s="2"/>
    </row>
    <row r="270" spans="1:8" x14ac:dyDescent="0.2">
      <c r="A270" s="1"/>
      <c r="H270" s="2"/>
    </row>
    <row r="271" spans="1:8" x14ac:dyDescent="0.2">
      <c r="A271" s="1"/>
      <c r="H271" s="2"/>
    </row>
    <row r="272" spans="1:8" x14ac:dyDescent="0.2">
      <c r="A272" s="1"/>
      <c r="H272" s="2"/>
    </row>
    <row r="273" spans="1:8" x14ac:dyDescent="0.2">
      <c r="A273" s="1"/>
      <c r="H273" s="2"/>
    </row>
    <row r="274" spans="1:8" x14ac:dyDescent="0.2">
      <c r="A274" s="1"/>
      <c r="H274" s="2"/>
    </row>
    <row r="275" spans="1:8" x14ac:dyDescent="0.2">
      <c r="A275" s="1"/>
      <c r="H275" s="2"/>
    </row>
    <row r="276" spans="1:8" x14ac:dyDescent="0.2">
      <c r="A276" s="1"/>
      <c r="H276" s="2"/>
    </row>
    <row r="277" spans="1:8" x14ac:dyDescent="0.2">
      <c r="A277" s="1"/>
      <c r="H277" s="2"/>
    </row>
    <row r="278" spans="1:8" x14ac:dyDescent="0.2">
      <c r="A278" s="1"/>
      <c r="H278" s="2"/>
    </row>
    <row r="279" spans="1:8" x14ac:dyDescent="0.2">
      <c r="A279" s="1"/>
      <c r="H279" s="2"/>
    </row>
    <row r="280" spans="1:8" x14ac:dyDescent="0.2">
      <c r="A280" s="1"/>
      <c r="H280" s="2"/>
    </row>
    <row r="281" spans="1:8" x14ac:dyDescent="0.2">
      <c r="A281" s="1"/>
      <c r="H281" s="2"/>
    </row>
    <row r="282" spans="1:8" x14ac:dyDescent="0.2">
      <c r="A282" s="1"/>
      <c r="H282" s="2"/>
    </row>
    <row r="283" spans="1:8" x14ac:dyDescent="0.2">
      <c r="A283" s="1"/>
      <c r="H283" s="2"/>
    </row>
    <row r="284" spans="1:8" x14ac:dyDescent="0.2">
      <c r="A284" s="1"/>
      <c r="H284" s="2"/>
    </row>
    <row r="285" spans="1:8" x14ac:dyDescent="0.2">
      <c r="A285" s="1"/>
      <c r="H285" s="2"/>
    </row>
    <row r="286" spans="1:8" x14ac:dyDescent="0.2">
      <c r="A286" s="1"/>
      <c r="H286" s="2"/>
    </row>
    <row r="287" spans="1:8" x14ac:dyDescent="0.2">
      <c r="A287" s="1"/>
      <c r="H287" s="2"/>
    </row>
    <row r="288" spans="1:8" x14ac:dyDescent="0.2">
      <c r="A288" s="1"/>
      <c r="H288" s="2"/>
    </row>
    <row r="289" spans="1:8" x14ac:dyDescent="0.2">
      <c r="A289" s="1"/>
      <c r="H289" s="2"/>
    </row>
    <row r="290" spans="1:8" x14ac:dyDescent="0.2">
      <c r="A290" s="1"/>
      <c r="H290" s="2"/>
    </row>
    <row r="291" spans="1:8" x14ac:dyDescent="0.2">
      <c r="A291" s="1"/>
      <c r="H291" s="2"/>
    </row>
    <row r="292" spans="1:8" x14ac:dyDescent="0.2">
      <c r="A292" s="1"/>
      <c r="H292" s="2"/>
    </row>
    <row r="293" spans="1:8" x14ac:dyDescent="0.2">
      <c r="A293" s="1"/>
      <c r="H293" s="2"/>
    </row>
    <row r="294" spans="1:8" x14ac:dyDescent="0.2">
      <c r="A294" s="1"/>
      <c r="H294" s="2"/>
    </row>
    <row r="295" spans="1:8" x14ac:dyDescent="0.2">
      <c r="A295" s="1"/>
      <c r="H295" s="2"/>
    </row>
    <row r="296" spans="1:8" x14ac:dyDescent="0.2">
      <c r="A296" s="1"/>
      <c r="H296" s="2"/>
    </row>
    <row r="297" spans="1:8" x14ac:dyDescent="0.2">
      <c r="A297" s="1"/>
      <c r="H297" s="2"/>
    </row>
    <row r="298" spans="1:8" x14ac:dyDescent="0.2">
      <c r="A298" s="1"/>
      <c r="H298" s="2"/>
    </row>
    <row r="299" spans="1:8" x14ac:dyDescent="0.2">
      <c r="A299" s="1"/>
      <c r="H299" s="2"/>
    </row>
    <row r="300" spans="1:8" x14ac:dyDescent="0.2">
      <c r="A300" s="1"/>
      <c r="H300" s="2"/>
    </row>
    <row r="301" spans="1:8" x14ac:dyDescent="0.2">
      <c r="A301" s="1"/>
      <c r="H301" s="2"/>
    </row>
    <row r="302" spans="1:8" x14ac:dyDescent="0.2">
      <c r="A302" s="1"/>
      <c r="H302" s="2"/>
    </row>
    <row r="303" spans="1:8" x14ac:dyDescent="0.2">
      <c r="A303" s="1"/>
      <c r="H303" s="2"/>
    </row>
    <row r="304" spans="1:8" x14ac:dyDescent="0.2">
      <c r="A304" s="1"/>
      <c r="H304" s="2"/>
    </row>
    <row r="305" spans="1:8" x14ac:dyDescent="0.2">
      <c r="A305" s="1"/>
      <c r="H305" s="2"/>
    </row>
    <row r="306" spans="1:8" x14ac:dyDescent="0.2">
      <c r="A306" s="1"/>
      <c r="H306" s="2"/>
    </row>
    <row r="307" spans="1:8" x14ac:dyDescent="0.2">
      <c r="A307" s="1"/>
      <c r="H307" s="2"/>
    </row>
    <row r="308" spans="1:8" x14ac:dyDescent="0.2">
      <c r="A308" s="1"/>
      <c r="H308" s="2"/>
    </row>
    <row r="309" spans="1:8" x14ac:dyDescent="0.2">
      <c r="A309" s="1"/>
      <c r="H309" s="2"/>
    </row>
    <row r="310" spans="1:8" x14ac:dyDescent="0.2">
      <c r="A310" s="1"/>
      <c r="H310" s="2"/>
    </row>
    <row r="311" spans="1:8" x14ac:dyDescent="0.2">
      <c r="A311" s="1"/>
      <c r="H311" s="2"/>
    </row>
    <row r="312" spans="1:8" x14ac:dyDescent="0.2">
      <c r="A312" s="1"/>
      <c r="H312" s="2"/>
    </row>
    <row r="313" spans="1:8" x14ac:dyDescent="0.2">
      <c r="A313" s="1"/>
      <c r="H313" s="2"/>
    </row>
    <row r="314" spans="1:8" x14ac:dyDescent="0.2">
      <c r="A314" s="1"/>
      <c r="H314" s="2"/>
    </row>
    <row r="315" spans="1:8" x14ac:dyDescent="0.2">
      <c r="A315" s="1"/>
      <c r="H315" s="2"/>
    </row>
    <row r="316" spans="1:8" x14ac:dyDescent="0.2">
      <c r="A316" s="1"/>
      <c r="H316" s="2"/>
    </row>
    <row r="317" spans="1:8" x14ac:dyDescent="0.2">
      <c r="A317" s="1"/>
      <c r="H317" s="2"/>
    </row>
    <row r="318" spans="1:8" x14ac:dyDescent="0.2">
      <c r="A318" s="1"/>
      <c r="H318" s="2"/>
    </row>
    <row r="319" spans="1:8" x14ac:dyDescent="0.2">
      <c r="A319" s="1"/>
      <c r="H319" s="2"/>
    </row>
    <row r="320" spans="1:8" x14ac:dyDescent="0.2">
      <c r="A320" s="1"/>
      <c r="H320" s="2"/>
    </row>
    <row r="321" spans="1:8" x14ac:dyDescent="0.2">
      <c r="A321" s="1"/>
      <c r="H321" s="2"/>
    </row>
    <row r="322" spans="1:8" x14ac:dyDescent="0.2">
      <c r="A322" s="1"/>
      <c r="H322" s="2"/>
    </row>
    <row r="323" spans="1:8" x14ac:dyDescent="0.2">
      <c r="A323" s="1"/>
      <c r="H323" s="2"/>
    </row>
    <row r="324" spans="1:8" x14ac:dyDescent="0.2">
      <c r="A324" s="1"/>
      <c r="H324" s="2"/>
    </row>
    <row r="325" spans="1:8" x14ac:dyDescent="0.2">
      <c r="A325" s="1"/>
      <c r="H325" s="2"/>
    </row>
    <row r="326" spans="1:8" x14ac:dyDescent="0.2">
      <c r="A326" s="1"/>
      <c r="H326" s="2"/>
    </row>
    <row r="327" spans="1:8" x14ac:dyDescent="0.2">
      <c r="A327" s="1"/>
      <c r="H327" s="2"/>
    </row>
    <row r="328" spans="1:8" x14ac:dyDescent="0.2">
      <c r="A328" s="1"/>
      <c r="H328" s="2"/>
    </row>
    <row r="329" spans="1:8" x14ac:dyDescent="0.2">
      <c r="A329" s="1"/>
      <c r="H329" s="2"/>
    </row>
    <row r="330" spans="1:8" x14ac:dyDescent="0.2">
      <c r="A330" s="1"/>
      <c r="H330" s="2"/>
    </row>
    <row r="331" spans="1:8" x14ac:dyDescent="0.2">
      <c r="A331" s="1"/>
      <c r="H331" s="2"/>
    </row>
    <row r="332" spans="1:8" x14ac:dyDescent="0.2">
      <c r="A332" s="1"/>
      <c r="H332" s="2"/>
    </row>
    <row r="333" spans="1:8" x14ac:dyDescent="0.2">
      <c r="A333" s="1"/>
      <c r="H333" s="2"/>
    </row>
    <row r="334" spans="1:8" x14ac:dyDescent="0.2">
      <c r="A334" s="1"/>
      <c r="H334" s="2"/>
    </row>
    <row r="335" spans="1:8" x14ac:dyDescent="0.2">
      <c r="A335" s="1"/>
      <c r="H335" s="2"/>
    </row>
    <row r="336" spans="1:8" x14ac:dyDescent="0.2">
      <c r="A336" s="1"/>
      <c r="H336" s="2"/>
    </row>
    <row r="337" spans="1:8" x14ac:dyDescent="0.2">
      <c r="A337" s="1"/>
      <c r="H337" s="2"/>
    </row>
    <row r="338" spans="1:8" x14ac:dyDescent="0.2">
      <c r="A338" s="1"/>
      <c r="H338" s="2"/>
    </row>
    <row r="339" spans="1:8" x14ac:dyDescent="0.2">
      <c r="A339" s="1"/>
      <c r="H339" s="2"/>
    </row>
    <row r="340" spans="1:8" x14ac:dyDescent="0.2">
      <c r="A340" s="1"/>
      <c r="H340" s="2"/>
    </row>
    <row r="341" spans="1:8" x14ac:dyDescent="0.2">
      <c r="A341" s="1"/>
      <c r="H341" s="2"/>
    </row>
    <row r="342" spans="1:8" x14ac:dyDescent="0.2">
      <c r="A342" s="1"/>
      <c r="H342" s="2"/>
    </row>
    <row r="343" spans="1:8" x14ac:dyDescent="0.2">
      <c r="A343" s="1"/>
      <c r="H343" s="2"/>
    </row>
    <row r="344" spans="1:8" x14ac:dyDescent="0.2">
      <c r="A344" s="1"/>
      <c r="H344" s="2"/>
    </row>
    <row r="345" spans="1:8" x14ac:dyDescent="0.2">
      <c r="A345" s="1"/>
      <c r="H345" s="2"/>
    </row>
    <row r="346" spans="1:8" x14ac:dyDescent="0.2">
      <c r="A346" s="1"/>
      <c r="H346" s="2"/>
    </row>
    <row r="347" spans="1:8" x14ac:dyDescent="0.2">
      <c r="A347" s="1"/>
      <c r="H347" s="2"/>
    </row>
    <row r="348" spans="1:8" x14ac:dyDescent="0.2">
      <c r="A348" s="1"/>
      <c r="H348" s="2"/>
    </row>
    <row r="349" spans="1:8" x14ac:dyDescent="0.2">
      <c r="A349" s="1"/>
      <c r="H349" s="2"/>
    </row>
    <row r="350" spans="1:8" x14ac:dyDescent="0.2">
      <c r="A350" s="1"/>
      <c r="H350" s="2"/>
    </row>
    <row r="351" spans="1:8" x14ac:dyDescent="0.2">
      <c r="A351" s="1"/>
      <c r="H351" s="2"/>
    </row>
    <row r="352" spans="1:8" x14ac:dyDescent="0.2">
      <c r="A352" s="1"/>
      <c r="H352" s="2"/>
    </row>
    <row r="353" spans="1:8" x14ac:dyDescent="0.2">
      <c r="A353" s="1"/>
      <c r="H353" s="2"/>
    </row>
    <row r="354" spans="1:8" x14ac:dyDescent="0.2">
      <c r="A354" s="1"/>
      <c r="H354" s="2"/>
    </row>
    <row r="355" spans="1:8" x14ac:dyDescent="0.2">
      <c r="A355" s="1"/>
      <c r="H355" s="2"/>
    </row>
    <row r="356" spans="1:8" x14ac:dyDescent="0.2">
      <c r="A356" s="1"/>
      <c r="H356" s="2"/>
    </row>
    <row r="357" spans="1:8" x14ac:dyDescent="0.2">
      <c r="A357" s="1"/>
      <c r="H357" s="2"/>
    </row>
    <row r="358" spans="1:8" x14ac:dyDescent="0.2">
      <c r="A358" s="1"/>
      <c r="H358" s="2"/>
    </row>
    <row r="359" spans="1:8" x14ac:dyDescent="0.2">
      <c r="A359" s="1"/>
      <c r="H359" s="2"/>
    </row>
    <row r="360" spans="1:8" x14ac:dyDescent="0.2">
      <c r="A360" s="1"/>
      <c r="H360" s="2"/>
    </row>
    <row r="361" spans="1:8" x14ac:dyDescent="0.2">
      <c r="A361" s="1"/>
      <c r="H361" s="2"/>
    </row>
    <row r="362" spans="1:8" x14ac:dyDescent="0.2">
      <c r="A362" s="1"/>
      <c r="H362" s="2"/>
    </row>
    <row r="363" spans="1:8" x14ac:dyDescent="0.2">
      <c r="A363" s="1"/>
      <c r="H363" s="2"/>
    </row>
    <row r="364" spans="1:8" x14ac:dyDescent="0.2">
      <c r="A364" s="1"/>
      <c r="H364" s="2"/>
    </row>
    <row r="365" spans="1:8" x14ac:dyDescent="0.2">
      <c r="A365" s="1"/>
      <c r="H365" s="2"/>
    </row>
    <row r="366" spans="1:8" x14ac:dyDescent="0.2">
      <c r="A366" s="1"/>
      <c r="H366" s="2"/>
    </row>
    <row r="367" spans="1:8" x14ac:dyDescent="0.2">
      <c r="A367" s="1"/>
      <c r="H367" s="2"/>
    </row>
    <row r="368" spans="1:8" x14ac:dyDescent="0.2">
      <c r="A368" s="1"/>
      <c r="H368" s="2"/>
    </row>
    <row r="369" spans="1:8" x14ac:dyDescent="0.2">
      <c r="A369" s="1"/>
      <c r="H369" s="2"/>
    </row>
    <row r="370" spans="1:8" x14ac:dyDescent="0.2">
      <c r="A370" s="1"/>
      <c r="H370" s="2"/>
    </row>
    <row r="371" spans="1:8" x14ac:dyDescent="0.2">
      <c r="A371" s="1"/>
      <c r="H371" s="2"/>
    </row>
    <row r="372" spans="1:8" x14ac:dyDescent="0.2">
      <c r="A372" s="1"/>
      <c r="H372" s="2"/>
    </row>
    <row r="373" spans="1:8" x14ac:dyDescent="0.2">
      <c r="A373" s="1"/>
      <c r="H373" s="2"/>
    </row>
    <row r="374" spans="1:8" x14ac:dyDescent="0.2">
      <c r="A374" s="1"/>
      <c r="H374" s="2"/>
    </row>
    <row r="375" spans="1:8" x14ac:dyDescent="0.2">
      <c r="A375" s="1"/>
      <c r="H375" s="2"/>
    </row>
    <row r="376" spans="1:8" x14ac:dyDescent="0.2">
      <c r="A376" s="1"/>
      <c r="H376" s="2"/>
    </row>
    <row r="377" spans="1:8" x14ac:dyDescent="0.2">
      <c r="A377" s="1"/>
      <c r="H377" s="2"/>
    </row>
    <row r="378" spans="1:8" x14ac:dyDescent="0.2">
      <c r="A378" s="1"/>
      <c r="H378" s="2"/>
    </row>
    <row r="379" spans="1:8" x14ac:dyDescent="0.2">
      <c r="A379" s="1"/>
      <c r="H379" s="2"/>
    </row>
    <row r="380" spans="1:8" x14ac:dyDescent="0.2">
      <c r="A380" s="1"/>
      <c r="H380" s="2"/>
    </row>
    <row r="381" spans="1:8" x14ac:dyDescent="0.2">
      <c r="A381" s="1"/>
      <c r="H381" s="2"/>
    </row>
    <row r="382" spans="1:8" x14ac:dyDescent="0.2">
      <c r="A382" s="1"/>
      <c r="H382" s="2"/>
    </row>
    <row r="383" spans="1:8" x14ac:dyDescent="0.2">
      <c r="A383" s="1"/>
      <c r="H383" s="2"/>
    </row>
    <row r="384" spans="1:8" x14ac:dyDescent="0.2">
      <c r="A384" s="1"/>
      <c r="H384" s="2"/>
    </row>
    <row r="385" spans="1:8" x14ac:dyDescent="0.2">
      <c r="A385" s="1"/>
      <c r="H385" s="2"/>
    </row>
    <row r="386" spans="1:8" x14ac:dyDescent="0.2">
      <c r="A386" s="1"/>
      <c r="H386" s="2"/>
    </row>
    <row r="387" spans="1:8" x14ac:dyDescent="0.2">
      <c r="A387" s="1"/>
      <c r="H387" s="2"/>
    </row>
    <row r="388" spans="1:8" x14ac:dyDescent="0.2">
      <c r="A388" s="1"/>
      <c r="H388" s="2"/>
    </row>
    <row r="389" spans="1:8" x14ac:dyDescent="0.2">
      <c r="A389" s="1"/>
      <c r="H389" s="2"/>
    </row>
    <row r="390" spans="1:8" x14ac:dyDescent="0.2">
      <c r="A390" s="1"/>
      <c r="H390" s="2"/>
    </row>
    <row r="391" spans="1:8" x14ac:dyDescent="0.2">
      <c r="A391" s="1"/>
      <c r="H391" s="2"/>
    </row>
    <row r="392" spans="1:8" x14ac:dyDescent="0.2">
      <c r="A392" s="1"/>
      <c r="H392" s="2"/>
    </row>
    <row r="393" spans="1:8" x14ac:dyDescent="0.2">
      <c r="A393" s="1"/>
      <c r="H393" s="2"/>
    </row>
    <row r="394" spans="1:8" x14ac:dyDescent="0.2">
      <c r="A394" s="1"/>
      <c r="H394" s="2"/>
    </row>
    <row r="395" spans="1:8" x14ac:dyDescent="0.2">
      <c r="A395" s="1"/>
      <c r="H395" s="2"/>
    </row>
    <row r="396" spans="1:8" x14ac:dyDescent="0.2">
      <c r="A396" s="1"/>
      <c r="H396" s="2"/>
    </row>
    <row r="397" spans="1:8" x14ac:dyDescent="0.2">
      <c r="A397" s="1"/>
      <c r="H397" s="2"/>
    </row>
    <row r="398" spans="1:8" x14ac:dyDescent="0.2">
      <c r="A398" s="1"/>
      <c r="H398" s="2"/>
    </row>
    <row r="399" spans="1:8" x14ac:dyDescent="0.2">
      <c r="A399" s="1"/>
      <c r="H399" s="2"/>
    </row>
    <row r="400" spans="1:8" x14ac:dyDescent="0.2">
      <c r="A400" s="1"/>
      <c r="H400" s="2"/>
    </row>
    <row r="401" spans="1:8" x14ac:dyDescent="0.2">
      <c r="A401" s="1"/>
      <c r="H401" s="2">
        <v>0</v>
      </c>
    </row>
    <row r="402" spans="1:8" x14ac:dyDescent="0.2">
      <c r="A402" s="1"/>
      <c r="H402" s="2">
        <v>0</v>
      </c>
    </row>
    <row r="403" spans="1:8" x14ac:dyDescent="0.2">
      <c r="A403" s="1"/>
      <c r="H403" s="2">
        <v>0</v>
      </c>
    </row>
    <row r="404" spans="1:8" x14ac:dyDescent="0.2">
      <c r="A404" s="1"/>
      <c r="H404" s="2">
        <v>0</v>
      </c>
    </row>
    <row r="405" spans="1:8" x14ac:dyDescent="0.2">
      <c r="A405" s="1"/>
      <c r="H405" s="2">
        <v>0</v>
      </c>
    </row>
    <row r="406" spans="1:8" x14ac:dyDescent="0.2">
      <c r="A406" s="1"/>
      <c r="H406" s="2">
        <v>0</v>
      </c>
    </row>
    <row r="407" spans="1:8" x14ac:dyDescent="0.2">
      <c r="A407" s="1"/>
      <c r="H407" s="2">
        <v>0</v>
      </c>
    </row>
    <row r="408" spans="1:8" x14ac:dyDescent="0.2">
      <c r="A408" s="1"/>
      <c r="H408" s="2">
        <v>0</v>
      </c>
    </row>
    <row r="409" spans="1:8" x14ac:dyDescent="0.2">
      <c r="A409" s="1"/>
      <c r="H409" s="2">
        <v>0</v>
      </c>
    </row>
    <row r="410" spans="1:8" x14ac:dyDescent="0.2">
      <c r="A410" s="1"/>
      <c r="H410" s="2">
        <v>0</v>
      </c>
    </row>
    <row r="411" spans="1:8" x14ac:dyDescent="0.2">
      <c r="A411" s="1"/>
      <c r="H411" s="2">
        <v>0</v>
      </c>
    </row>
    <row r="412" spans="1:8" x14ac:dyDescent="0.2">
      <c r="A412" s="1"/>
      <c r="H412" s="2">
        <v>0</v>
      </c>
    </row>
    <row r="413" spans="1:8" x14ac:dyDescent="0.2">
      <c r="A413" s="1"/>
      <c r="H413" s="2">
        <v>0</v>
      </c>
    </row>
    <row r="414" spans="1:8" x14ac:dyDescent="0.2">
      <c r="A414" s="1"/>
      <c r="H414" s="2">
        <v>0</v>
      </c>
    </row>
    <row r="415" spans="1:8" x14ac:dyDescent="0.2">
      <c r="A415" s="1"/>
      <c r="H415" s="2">
        <v>0</v>
      </c>
    </row>
    <row r="416" spans="1:8" x14ac:dyDescent="0.2">
      <c r="A416" s="1"/>
      <c r="H416" s="2">
        <v>0</v>
      </c>
    </row>
    <row r="417" spans="1:8" x14ac:dyDescent="0.2">
      <c r="A417" s="1"/>
      <c r="H417" s="2">
        <v>0</v>
      </c>
    </row>
    <row r="418" spans="1:8" x14ac:dyDescent="0.2">
      <c r="A418" s="1"/>
      <c r="H418" s="2">
        <v>0</v>
      </c>
    </row>
    <row r="419" spans="1:8" x14ac:dyDescent="0.2">
      <c r="A419" s="1"/>
      <c r="H419" s="2">
        <v>0</v>
      </c>
    </row>
    <row r="420" spans="1:8" x14ac:dyDescent="0.2">
      <c r="A420" s="1"/>
      <c r="H420" s="2">
        <v>0</v>
      </c>
    </row>
    <row r="421" spans="1:8" x14ac:dyDescent="0.2">
      <c r="A421" s="1"/>
      <c r="H421" s="2">
        <v>0</v>
      </c>
    </row>
    <row r="422" spans="1:8" x14ac:dyDescent="0.2">
      <c r="A422" s="1"/>
      <c r="H422" s="2">
        <v>0</v>
      </c>
    </row>
    <row r="423" spans="1:8" x14ac:dyDescent="0.2">
      <c r="A423" s="1"/>
      <c r="H423" s="2">
        <v>0</v>
      </c>
    </row>
    <row r="424" spans="1:8" x14ac:dyDescent="0.2">
      <c r="A424" s="1"/>
      <c r="H424" s="2">
        <v>0</v>
      </c>
    </row>
    <row r="425" spans="1:8" x14ac:dyDescent="0.2">
      <c r="A425" s="1"/>
      <c r="H425" s="2">
        <v>0</v>
      </c>
    </row>
    <row r="426" spans="1:8" x14ac:dyDescent="0.2">
      <c r="A426" s="1"/>
      <c r="H426" s="2">
        <v>0</v>
      </c>
    </row>
    <row r="427" spans="1:8" x14ac:dyDescent="0.2">
      <c r="A427" s="1"/>
      <c r="H427" s="2">
        <v>0</v>
      </c>
    </row>
    <row r="428" spans="1:8" x14ac:dyDescent="0.2">
      <c r="A428" s="1"/>
      <c r="H428" s="2">
        <v>0</v>
      </c>
    </row>
    <row r="429" spans="1:8" x14ac:dyDescent="0.2">
      <c r="A429" s="1"/>
      <c r="H429" s="2">
        <v>0</v>
      </c>
    </row>
    <row r="430" spans="1:8" x14ac:dyDescent="0.2">
      <c r="A430" s="1"/>
      <c r="H430" s="2">
        <v>0</v>
      </c>
    </row>
    <row r="431" spans="1:8" x14ac:dyDescent="0.2">
      <c r="A431" s="1"/>
      <c r="H431" s="2">
        <v>0</v>
      </c>
    </row>
    <row r="432" spans="1:8" x14ac:dyDescent="0.2">
      <c r="A432" s="1"/>
      <c r="H432" s="2">
        <v>0</v>
      </c>
    </row>
    <row r="433" spans="1:8" x14ac:dyDescent="0.2">
      <c r="A433" s="1"/>
      <c r="H433" s="2">
        <v>0</v>
      </c>
    </row>
    <row r="434" spans="1:8" x14ac:dyDescent="0.2">
      <c r="A434" s="1"/>
      <c r="H434" s="2">
        <v>0</v>
      </c>
    </row>
    <row r="435" spans="1:8" x14ac:dyDescent="0.2">
      <c r="A435" s="1"/>
      <c r="H435" s="2">
        <v>0</v>
      </c>
    </row>
    <row r="436" spans="1:8" x14ac:dyDescent="0.2">
      <c r="A436" s="1"/>
      <c r="H436" s="2">
        <v>0</v>
      </c>
    </row>
    <row r="437" spans="1:8" x14ac:dyDescent="0.2">
      <c r="A437" s="1"/>
      <c r="H437" s="2">
        <v>0</v>
      </c>
    </row>
    <row r="438" spans="1:8" x14ac:dyDescent="0.2">
      <c r="A438" s="1"/>
      <c r="H438" s="2">
        <v>0</v>
      </c>
    </row>
    <row r="439" spans="1:8" x14ac:dyDescent="0.2">
      <c r="A439" s="1"/>
      <c r="H439" s="2">
        <v>0</v>
      </c>
    </row>
    <row r="440" spans="1:8" x14ac:dyDescent="0.2">
      <c r="A440" s="1"/>
      <c r="H440" s="2">
        <v>0</v>
      </c>
    </row>
    <row r="441" spans="1:8" x14ac:dyDescent="0.2">
      <c r="A441" s="1"/>
      <c r="H441" s="2">
        <v>0</v>
      </c>
    </row>
    <row r="442" spans="1:8" x14ac:dyDescent="0.2">
      <c r="A442" s="1"/>
      <c r="H442" s="2">
        <v>0</v>
      </c>
    </row>
    <row r="443" spans="1:8" x14ac:dyDescent="0.2">
      <c r="A443" s="1"/>
      <c r="H443" s="2">
        <v>0</v>
      </c>
    </row>
    <row r="444" spans="1:8" x14ac:dyDescent="0.2">
      <c r="A444" s="1"/>
      <c r="H444" s="2">
        <v>0</v>
      </c>
    </row>
    <row r="445" spans="1:8" x14ac:dyDescent="0.2">
      <c r="A445" s="1"/>
      <c r="H445" s="2">
        <v>0</v>
      </c>
    </row>
    <row r="446" spans="1:8" x14ac:dyDescent="0.2">
      <c r="A446" s="1"/>
      <c r="H446" s="2">
        <v>0</v>
      </c>
    </row>
    <row r="447" spans="1:8" x14ac:dyDescent="0.2">
      <c r="A447" s="1"/>
      <c r="H447" s="2">
        <v>0</v>
      </c>
    </row>
    <row r="448" spans="1:8" x14ac:dyDescent="0.2">
      <c r="A448" s="1"/>
      <c r="H448" s="2">
        <v>0</v>
      </c>
    </row>
    <row r="449" spans="1:8" x14ac:dyDescent="0.2">
      <c r="A449" s="1"/>
      <c r="H449" s="2">
        <v>0</v>
      </c>
    </row>
    <row r="450" spans="1:8" x14ac:dyDescent="0.2">
      <c r="A450" s="1"/>
      <c r="H450" s="2">
        <v>0</v>
      </c>
    </row>
    <row r="451" spans="1:8" x14ac:dyDescent="0.2">
      <c r="A451" s="1"/>
      <c r="H451" s="2">
        <v>0</v>
      </c>
    </row>
    <row r="452" spans="1:8" x14ac:dyDescent="0.2">
      <c r="A452" s="1"/>
      <c r="H452" s="2">
        <v>0</v>
      </c>
    </row>
    <row r="453" spans="1:8" x14ac:dyDescent="0.2">
      <c r="A453" s="1"/>
      <c r="H453" s="2">
        <v>0</v>
      </c>
    </row>
    <row r="454" spans="1:8" x14ac:dyDescent="0.2">
      <c r="A454" s="1"/>
      <c r="H454" s="2">
        <v>0</v>
      </c>
    </row>
    <row r="455" spans="1:8" x14ac:dyDescent="0.2">
      <c r="A455" s="1"/>
      <c r="H455" s="2">
        <v>0</v>
      </c>
    </row>
    <row r="456" spans="1:8" x14ac:dyDescent="0.2">
      <c r="A456" s="1"/>
      <c r="H456" s="2">
        <v>0</v>
      </c>
    </row>
    <row r="457" spans="1:8" x14ac:dyDescent="0.2">
      <c r="A457" s="1"/>
      <c r="H457" s="2">
        <v>0</v>
      </c>
    </row>
    <row r="458" spans="1:8" x14ac:dyDescent="0.2">
      <c r="A458" s="1"/>
      <c r="H458" s="2">
        <v>0</v>
      </c>
    </row>
    <row r="459" spans="1:8" x14ac:dyDescent="0.2">
      <c r="A459" s="1"/>
      <c r="H459" s="2">
        <v>0</v>
      </c>
    </row>
    <row r="460" spans="1:8" x14ac:dyDescent="0.2">
      <c r="A460" s="1"/>
      <c r="H460" s="2">
        <v>0</v>
      </c>
    </row>
    <row r="461" spans="1:8" x14ac:dyDescent="0.2">
      <c r="A461" s="1"/>
      <c r="H461" s="2">
        <v>0</v>
      </c>
    </row>
    <row r="462" spans="1:8" x14ac:dyDescent="0.2">
      <c r="A462" s="1"/>
      <c r="H462" s="2">
        <v>0</v>
      </c>
    </row>
    <row r="463" spans="1:8" x14ac:dyDescent="0.2">
      <c r="A463" s="1"/>
      <c r="H463" s="2">
        <v>0</v>
      </c>
    </row>
    <row r="464" spans="1:8" x14ac:dyDescent="0.2">
      <c r="A464" s="1"/>
      <c r="H464" s="2">
        <v>0</v>
      </c>
    </row>
    <row r="465" spans="1:8" x14ac:dyDescent="0.2">
      <c r="A465" s="1"/>
      <c r="H465" s="2">
        <v>0</v>
      </c>
    </row>
    <row r="466" spans="1:8" x14ac:dyDescent="0.2">
      <c r="A466" s="1"/>
      <c r="H466" s="2">
        <v>0</v>
      </c>
    </row>
    <row r="467" spans="1:8" x14ac:dyDescent="0.2">
      <c r="A467" s="1"/>
      <c r="H467" s="2">
        <v>0</v>
      </c>
    </row>
    <row r="468" spans="1:8" x14ac:dyDescent="0.2">
      <c r="A468" s="1"/>
      <c r="H468" s="2">
        <v>0</v>
      </c>
    </row>
    <row r="469" spans="1:8" x14ac:dyDescent="0.2">
      <c r="A469" s="1"/>
      <c r="H469" s="2">
        <v>0</v>
      </c>
    </row>
    <row r="470" spans="1:8" x14ac:dyDescent="0.2">
      <c r="A470" s="1"/>
      <c r="H470" s="2">
        <v>0</v>
      </c>
    </row>
    <row r="471" spans="1:8" x14ac:dyDescent="0.2">
      <c r="A471" s="1"/>
      <c r="H471" s="2">
        <v>0</v>
      </c>
    </row>
    <row r="472" spans="1:8" x14ac:dyDescent="0.2">
      <c r="A472" s="1"/>
      <c r="H472" s="2">
        <v>0</v>
      </c>
    </row>
    <row r="473" spans="1:8" x14ac:dyDescent="0.2">
      <c r="A473" s="1"/>
      <c r="H473" s="2">
        <v>0</v>
      </c>
    </row>
    <row r="474" spans="1:8" x14ac:dyDescent="0.2">
      <c r="A474" s="1"/>
      <c r="H474" s="2">
        <v>0</v>
      </c>
    </row>
    <row r="475" spans="1:8" x14ac:dyDescent="0.2">
      <c r="A475" s="1"/>
      <c r="H475" s="2">
        <v>0</v>
      </c>
    </row>
    <row r="476" spans="1:8" x14ac:dyDescent="0.2">
      <c r="A476" s="1"/>
      <c r="H476" s="2">
        <v>0</v>
      </c>
    </row>
    <row r="477" spans="1:8" x14ac:dyDescent="0.2">
      <c r="A477" s="1"/>
      <c r="H477" s="2">
        <v>0</v>
      </c>
    </row>
    <row r="478" spans="1:8" x14ac:dyDescent="0.2">
      <c r="A478" s="1"/>
      <c r="H478" s="2">
        <v>0</v>
      </c>
    </row>
    <row r="479" spans="1:8" x14ac:dyDescent="0.2">
      <c r="A479" s="1"/>
      <c r="H479" s="2">
        <v>0</v>
      </c>
    </row>
    <row r="480" spans="1:8" x14ac:dyDescent="0.2">
      <c r="A480" s="1"/>
      <c r="H480" s="2">
        <v>0</v>
      </c>
    </row>
    <row r="481" spans="1:8" x14ac:dyDescent="0.2">
      <c r="A481" s="1"/>
      <c r="H481" s="2">
        <v>0</v>
      </c>
    </row>
    <row r="482" spans="1:8" x14ac:dyDescent="0.2">
      <c r="A482" s="1"/>
      <c r="H482" s="2">
        <v>0</v>
      </c>
    </row>
    <row r="483" spans="1:8" x14ac:dyDescent="0.2">
      <c r="A483" s="1"/>
      <c r="H483" s="2">
        <v>0</v>
      </c>
    </row>
    <row r="484" spans="1:8" x14ac:dyDescent="0.2">
      <c r="A484" s="1"/>
      <c r="H484" s="2">
        <v>0</v>
      </c>
    </row>
    <row r="485" spans="1:8" x14ac:dyDescent="0.2">
      <c r="A485" s="1"/>
      <c r="H485" s="2">
        <v>0</v>
      </c>
    </row>
    <row r="486" spans="1:8" x14ac:dyDescent="0.2">
      <c r="A486" s="1"/>
      <c r="H486" s="2">
        <v>0</v>
      </c>
    </row>
    <row r="487" spans="1:8" x14ac:dyDescent="0.2">
      <c r="A487" s="1"/>
      <c r="H487" s="2">
        <v>0</v>
      </c>
    </row>
    <row r="488" spans="1:8" x14ac:dyDescent="0.2">
      <c r="A488" s="1"/>
      <c r="H488" s="2">
        <v>0</v>
      </c>
    </row>
    <row r="489" spans="1:8" x14ac:dyDescent="0.2">
      <c r="A489" s="1"/>
      <c r="H489" s="2">
        <v>0</v>
      </c>
    </row>
    <row r="490" spans="1:8" x14ac:dyDescent="0.2">
      <c r="A490" s="1"/>
      <c r="H490" s="2">
        <v>0</v>
      </c>
    </row>
    <row r="491" spans="1:8" x14ac:dyDescent="0.2">
      <c r="A491" s="1"/>
      <c r="H491" s="2">
        <v>0</v>
      </c>
    </row>
    <row r="492" spans="1:8" x14ac:dyDescent="0.2">
      <c r="A492" s="1"/>
      <c r="H492" s="2">
        <v>0</v>
      </c>
    </row>
    <row r="493" spans="1:8" x14ac:dyDescent="0.2">
      <c r="A493" s="1"/>
      <c r="H493" s="2">
        <v>0</v>
      </c>
    </row>
    <row r="494" spans="1:8" x14ac:dyDescent="0.2">
      <c r="A494" s="1"/>
      <c r="H494" s="2">
        <v>0</v>
      </c>
    </row>
    <row r="495" spans="1:8" x14ac:dyDescent="0.2">
      <c r="A495" s="1"/>
      <c r="H495" s="2">
        <v>0</v>
      </c>
    </row>
    <row r="496" spans="1:8" x14ac:dyDescent="0.2">
      <c r="A496" s="1"/>
      <c r="H496" s="2">
        <v>0</v>
      </c>
    </row>
    <row r="497" spans="1:8" x14ac:dyDescent="0.2">
      <c r="A497" s="1"/>
      <c r="H497" s="2">
        <v>0</v>
      </c>
    </row>
    <row r="498" spans="1:8" x14ac:dyDescent="0.2">
      <c r="A498" s="1"/>
      <c r="H498" s="2">
        <v>0</v>
      </c>
    </row>
    <row r="499" spans="1:8" x14ac:dyDescent="0.2">
      <c r="A499" s="1"/>
      <c r="H499" s="2">
        <v>0</v>
      </c>
    </row>
    <row r="500" spans="1:8" ht="16" thickBot="1" x14ac:dyDescent="0.25">
      <c r="A500" s="3"/>
      <c r="B500" s="4"/>
      <c r="C500" s="4"/>
      <c r="D500" s="4"/>
      <c r="E500" s="4"/>
      <c r="F500" s="4"/>
      <c r="G500" s="4"/>
      <c r="H500" s="5">
        <v>0</v>
      </c>
    </row>
  </sheetData>
  <mergeCells count="2">
    <mergeCell ref="A1:H1"/>
    <mergeCell ref="A2:H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E65AC-3C60-4E36-BB8D-FFB640311AA7}">
  <sheetPr codeName="Sheet17">
    <tabColor theme="7"/>
  </sheetPr>
  <dimension ref="A1:Y115"/>
  <sheetViews>
    <sheetView topLeftCell="B1" workbookViewId="0">
      <selection activeCell="D3" sqref="D3"/>
    </sheetView>
  </sheetViews>
  <sheetFormatPr baseColWidth="10" defaultColWidth="8.83203125" defaultRowHeight="15" x14ac:dyDescent="0.2"/>
  <cols>
    <col min="3" max="3" width="13.5" bestFit="1" customWidth="1"/>
    <col min="5" max="5" width="17.5" bestFit="1" customWidth="1"/>
    <col min="15" max="15" width="10.33203125" bestFit="1" customWidth="1"/>
  </cols>
  <sheetData>
    <row r="1" spans="1:25" ht="16" thickBot="1" x14ac:dyDescent="0.25">
      <c r="A1" s="414" t="s">
        <v>4</v>
      </c>
      <c r="B1" s="415"/>
      <c r="C1" s="415"/>
      <c r="D1" s="415"/>
      <c r="E1" s="415"/>
      <c r="F1" s="415"/>
      <c r="G1" s="415"/>
      <c r="H1" s="415"/>
      <c r="I1" s="415"/>
      <c r="J1" s="415"/>
      <c r="K1" s="415"/>
      <c r="L1" s="415"/>
      <c r="M1" s="462"/>
      <c r="N1" s="95"/>
      <c r="O1" s="95"/>
      <c r="P1" s="95"/>
      <c r="Q1" s="95"/>
      <c r="R1" s="95"/>
      <c r="S1" s="95"/>
      <c r="T1" s="95"/>
      <c r="U1" s="95"/>
      <c r="V1" s="95"/>
      <c r="W1" s="95"/>
      <c r="X1" s="95"/>
      <c r="Y1" s="95"/>
    </row>
    <row r="2" spans="1:25" ht="15" customHeight="1" x14ac:dyDescent="0.2">
      <c r="A2" s="416"/>
      <c r="B2" s="466" t="s">
        <v>59</v>
      </c>
      <c r="C2" s="411" t="s">
        <v>46</v>
      </c>
      <c r="D2" s="409"/>
      <c r="E2" s="409"/>
      <c r="F2" s="409"/>
      <c r="G2" s="409"/>
      <c r="H2" s="409"/>
      <c r="I2" s="409"/>
      <c r="J2" s="409"/>
      <c r="K2" s="409"/>
      <c r="L2" s="409"/>
      <c r="M2" s="410"/>
      <c r="N2" s="97"/>
    </row>
    <row r="3" spans="1:25" x14ac:dyDescent="0.2">
      <c r="A3" s="416"/>
      <c r="B3" s="467"/>
      <c r="C3" s="21" t="s">
        <v>47</v>
      </c>
      <c r="M3" s="2"/>
      <c r="N3" s="97"/>
    </row>
    <row r="4" spans="1:25" x14ac:dyDescent="0.2">
      <c r="A4" s="416"/>
      <c r="B4" s="467"/>
      <c r="C4" s="22" t="s">
        <v>48</v>
      </c>
      <c r="D4" s="30"/>
      <c r="E4" s="30"/>
      <c r="F4" s="30"/>
      <c r="G4" s="30"/>
      <c r="H4" s="30"/>
      <c r="I4" s="30"/>
      <c r="J4" s="30"/>
      <c r="K4" s="30"/>
      <c r="L4" s="30"/>
      <c r="M4" s="31"/>
      <c r="N4" s="97"/>
    </row>
    <row r="5" spans="1:25" x14ac:dyDescent="0.2">
      <c r="A5" s="416"/>
      <c r="B5" s="467"/>
      <c r="C5" s="22" t="s">
        <v>49</v>
      </c>
      <c r="M5" s="2"/>
      <c r="N5" s="97"/>
    </row>
    <row r="6" spans="1:25" x14ac:dyDescent="0.2">
      <c r="A6" s="416"/>
      <c r="B6" s="467"/>
      <c r="C6" s="101" t="s">
        <v>50</v>
      </c>
      <c r="D6" s="99"/>
      <c r="E6" s="99"/>
      <c r="F6" s="99"/>
      <c r="G6" s="99"/>
      <c r="H6" s="99"/>
      <c r="I6" s="99"/>
      <c r="J6" s="99"/>
      <c r="K6" s="99"/>
      <c r="L6" s="99"/>
      <c r="M6" s="100"/>
      <c r="N6" s="97"/>
    </row>
    <row r="7" spans="1:25" x14ac:dyDescent="0.2">
      <c r="A7" s="416"/>
      <c r="B7" s="467"/>
      <c r="C7" s="22" t="s">
        <v>51</v>
      </c>
      <c r="M7" s="2"/>
      <c r="N7" s="97"/>
    </row>
    <row r="8" spans="1:25" x14ac:dyDescent="0.2">
      <c r="A8" s="416"/>
      <c r="B8" s="467"/>
      <c r="C8" s="22" t="s">
        <v>49</v>
      </c>
      <c r="D8" s="30"/>
      <c r="E8" s="30"/>
      <c r="F8" s="30"/>
      <c r="G8" s="30"/>
      <c r="H8" s="30"/>
      <c r="I8" s="30"/>
      <c r="J8" s="30"/>
      <c r="K8" s="30"/>
      <c r="L8" s="30"/>
      <c r="M8" s="31"/>
      <c r="N8" s="97"/>
    </row>
    <row r="9" spans="1:25" x14ac:dyDescent="0.2">
      <c r="A9" s="416"/>
      <c r="B9" s="467"/>
      <c r="C9" s="22" t="s">
        <v>50</v>
      </c>
      <c r="M9" s="2"/>
      <c r="N9" s="97"/>
    </row>
    <row r="10" spans="1:25" x14ac:dyDescent="0.2">
      <c r="A10" s="416"/>
      <c r="B10" s="467"/>
      <c r="C10" s="470" t="s">
        <v>52</v>
      </c>
      <c r="D10" s="471"/>
      <c r="E10" s="471"/>
      <c r="F10" s="471"/>
      <c r="G10" s="471"/>
      <c r="H10" s="471"/>
      <c r="I10" s="471"/>
      <c r="J10" s="471"/>
      <c r="K10" s="471"/>
      <c r="L10" s="471"/>
      <c r="M10" s="472"/>
      <c r="N10" s="97"/>
    </row>
    <row r="11" spans="1:25" x14ac:dyDescent="0.2">
      <c r="A11" s="416"/>
      <c r="B11" s="467"/>
      <c r="C11" s="21" t="s">
        <v>47</v>
      </c>
      <c r="M11" s="2"/>
      <c r="N11" s="97"/>
    </row>
    <row r="12" spans="1:25" x14ac:dyDescent="0.2">
      <c r="A12" s="416"/>
      <c r="B12" s="467"/>
      <c r="C12" s="22" t="s">
        <v>48</v>
      </c>
      <c r="D12" s="30"/>
      <c r="E12" s="30"/>
      <c r="F12" s="30"/>
      <c r="G12" s="30"/>
      <c r="H12" s="30"/>
      <c r="I12" s="30"/>
      <c r="J12" s="30"/>
      <c r="K12" s="30"/>
      <c r="L12" s="30"/>
      <c r="M12" s="31"/>
      <c r="N12" s="97"/>
    </row>
    <row r="13" spans="1:25" x14ac:dyDescent="0.2">
      <c r="A13" s="416"/>
      <c r="B13" s="467"/>
      <c r="C13" s="22" t="s">
        <v>49</v>
      </c>
      <c r="M13" s="2"/>
      <c r="N13" s="97"/>
    </row>
    <row r="14" spans="1:25" x14ac:dyDescent="0.2">
      <c r="A14" s="416"/>
      <c r="B14" s="467"/>
      <c r="C14" s="101" t="s">
        <v>50</v>
      </c>
      <c r="D14" s="99"/>
      <c r="E14" s="99"/>
      <c r="F14" s="99"/>
      <c r="G14" s="99"/>
      <c r="H14" s="99"/>
      <c r="I14" s="99"/>
      <c r="J14" s="99"/>
      <c r="K14" s="99"/>
      <c r="L14" s="99"/>
      <c r="M14" s="100"/>
      <c r="N14" s="97"/>
    </row>
    <row r="15" spans="1:25" x14ac:dyDescent="0.2">
      <c r="A15" s="416"/>
      <c r="B15" s="467"/>
      <c r="C15" s="22" t="s">
        <v>51</v>
      </c>
      <c r="M15" s="2"/>
      <c r="N15" s="97"/>
    </row>
    <row r="16" spans="1:25" x14ac:dyDescent="0.2">
      <c r="A16" s="416"/>
      <c r="B16" s="467"/>
      <c r="C16" s="22" t="s">
        <v>49</v>
      </c>
      <c r="D16" s="30"/>
      <c r="E16" s="30"/>
      <c r="F16" s="30"/>
      <c r="G16" s="30"/>
      <c r="H16" s="30"/>
      <c r="I16" s="30"/>
      <c r="J16" s="30"/>
      <c r="K16" s="30"/>
      <c r="L16" s="30"/>
      <c r="M16" s="31"/>
      <c r="N16" s="97"/>
    </row>
    <row r="17" spans="1:14" x14ac:dyDescent="0.2">
      <c r="A17" s="416"/>
      <c r="B17" s="467"/>
      <c r="C17" s="22" t="s">
        <v>50</v>
      </c>
      <c r="M17" s="2"/>
      <c r="N17" s="97"/>
    </row>
    <row r="18" spans="1:14" x14ac:dyDescent="0.2">
      <c r="A18" s="416"/>
      <c r="B18" s="467"/>
      <c r="C18" s="470" t="s">
        <v>53</v>
      </c>
      <c r="D18" s="471"/>
      <c r="E18" s="471"/>
      <c r="F18" s="471"/>
      <c r="G18" s="471"/>
      <c r="H18" s="471"/>
      <c r="I18" s="471"/>
      <c r="J18" s="471"/>
      <c r="K18" s="471"/>
      <c r="L18" s="471"/>
      <c r="M18" s="472"/>
      <c r="N18" s="97"/>
    </row>
    <row r="19" spans="1:14" x14ac:dyDescent="0.2">
      <c r="A19" s="416"/>
      <c r="B19" s="467"/>
      <c r="C19" s="21" t="s">
        <v>47</v>
      </c>
      <c r="M19" s="2"/>
      <c r="N19" s="97"/>
    </row>
    <row r="20" spans="1:14" x14ac:dyDescent="0.2">
      <c r="A20" s="416"/>
      <c r="B20" s="467"/>
      <c r="C20" s="22" t="s">
        <v>48</v>
      </c>
      <c r="D20" s="30"/>
      <c r="E20" s="30"/>
      <c r="F20" s="30"/>
      <c r="G20" s="30"/>
      <c r="H20" s="30"/>
      <c r="I20" s="30"/>
      <c r="J20" s="30"/>
      <c r="K20" s="30"/>
      <c r="L20" s="30"/>
      <c r="M20" s="31"/>
      <c r="N20" s="97"/>
    </row>
    <row r="21" spans="1:14" x14ac:dyDescent="0.2">
      <c r="A21" s="416"/>
      <c r="B21" s="467"/>
      <c r="C21" s="22" t="s">
        <v>49</v>
      </c>
      <c r="M21" s="2"/>
      <c r="N21" s="97"/>
    </row>
    <row r="22" spans="1:14" x14ac:dyDescent="0.2">
      <c r="A22" s="416"/>
      <c r="B22" s="467"/>
      <c r="C22" s="101" t="s">
        <v>50</v>
      </c>
      <c r="D22" s="99"/>
      <c r="E22" s="99"/>
      <c r="F22" s="99"/>
      <c r="G22" s="99"/>
      <c r="H22" s="99"/>
      <c r="I22" s="99"/>
      <c r="J22" s="99"/>
      <c r="K22" s="99"/>
      <c r="L22" s="99"/>
      <c r="M22" s="100"/>
      <c r="N22" s="97"/>
    </row>
    <row r="23" spans="1:14" x14ac:dyDescent="0.2">
      <c r="A23" s="416"/>
      <c r="B23" s="467"/>
      <c r="C23" s="22" t="s">
        <v>51</v>
      </c>
      <c r="M23" s="2"/>
      <c r="N23" s="97"/>
    </row>
    <row r="24" spans="1:14" x14ac:dyDescent="0.2">
      <c r="A24" s="416"/>
      <c r="B24" s="467"/>
      <c r="C24" s="22" t="s">
        <v>49</v>
      </c>
      <c r="D24" s="30"/>
      <c r="E24" s="30"/>
      <c r="F24" s="30"/>
      <c r="G24" s="30"/>
      <c r="H24" s="30"/>
      <c r="I24" s="30"/>
      <c r="J24" s="30"/>
      <c r="K24" s="30"/>
      <c r="L24" s="30"/>
      <c r="M24" s="31"/>
      <c r="N24" s="97"/>
    </row>
    <row r="25" spans="1:14" x14ac:dyDescent="0.2">
      <c r="A25" s="416"/>
      <c r="B25" s="467"/>
      <c r="C25" s="22" t="s">
        <v>50</v>
      </c>
      <c r="M25" s="2"/>
      <c r="N25" s="97"/>
    </row>
    <row r="26" spans="1:14" x14ac:dyDescent="0.2">
      <c r="A26" s="416"/>
      <c r="B26" s="467"/>
      <c r="C26" s="470" t="s">
        <v>54</v>
      </c>
      <c r="D26" s="471"/>
      <c r="E26" s="471"/>
      <c r="F26" s="471"/>
      <c r="G26" s="471"/>
      <c r="H26" s="471"/>
      <c r="I26" s="471"/>
      <c r="J26" s="471"/>
      <c r="K26" s="471"/>
      <c r="L26" s="471"/>
      <c r="M26" s="472"/>
      <c r="N26" s="97"/>
    </row>
    <row r="27" spans="1:14" x14ac:dyDescent="0.2">
      <c r="A27" s="416"/>
      <c r="B27" s="467"/>
      <c r="C27" s="21" t="s">
        <v>47</v>
      </c>
      <c r="M27" s="2"/>
      <c r="N27" s="97"/>
    </row>
    <row r="28" spans="1:14" x14ac:dyDescent="0.2">
      <c r="A28" s="416"/>
      <c r="B28" s="467"/>
      <c r="C28" s="22" t="s">
        <v>48</v>
      </c>
      <c r="D28" s="30"/>
      <c r="E28" s="30"/>
      <c r="F28" s="30"/>
      <c r="G28" s="30"/>
      <c r="H28" s="30"/>
      <c r="I28" s="30"/>
      <c r="J28" s="30"/>
      <c r="K28" s="30"/>
      <c r="L28" s="30"/>
      <c r="M28" s="31"/>
      <c r="N28" s="97"/>
    </row>
    <row r="29" spans="1:14" x14ac:dyDescent="0.2">
      <c r="A29" s="416"/>
      <c r="B29" s="467"/>
      <c r="C29" s="22" t="s">
        <v>49</v>
      </c>
      <c r="M29" s="2"/>
      <c r="N29" s="97"/>
    </row>
    <row r="30" spans="1:14" x14ac:dyDescent="0.2">
      <c r="A30" s="416"/>
      <c r="B30" s="467"/>
      <c r="C30" s="101" t="s">
        <v>50</v>
      </c>
      <c r="D30" s="99"/>
      <c r="E30" s="99"/>
      <c r="F30" s="99"/>
      <c r="G30" s="99"/>
      <c r="H30" s="99"/>
      <c r="I30" s="99"/>
      <c r="J30" s="99"/>
      <c r="K30" s="99"/>
      <c r="L30" s="99"/>
      <c r="M30" s="100"/>
      <c r="N30" s="97"/>
    </row>
    <row r="31" spans="1:14" x14ac:dyDescent="0.2">
      <c r="A31" s="416"/>
      <c r="B31" s="467"/>
      <c r="C31" s="22" t="s">
        <v>51</v>
      </c>
      <c r="M31" s="2"/>
      <c r="N31" s="97"/>
    </row>
    <row r="32" spans="1:14" x14ac:dyDescent="0.2">
      <c r="A32" s="416"/>
      <c r="B32" s="467"/>
      <c r="C32" s="22" t="s">
        <v>49</v>
      </c>
      <c r="D32" s="30"/>
      <c r="E32" s="30"/>
      <c r="F32" s="30"/>
      <c r="G32" s="30"/>
      <c r="H32" s="30"/>
      <c r="I32" s="30"/>
      <c r="J32" s="30"/>
      <c r="K32" s="30"/>
      <c r="L32" s="30"/>
      <c r="M32" s="31"/>
      <c r="N32" s="97"/>
    </row>
    <row r="33" spans="1:25" x14ac:dyDescent="0.2">
      <c r="A33" s="416"/>
      <c r="B33" s="467"/>
      <c r="C33" s="22" t="s">
        <v>50</v>
      </c>
      <c r="M33" s="2"/>
      <c r="N33" s="97"/>
    </row>
    <row r="34" spans="1:25" x14ac:dyDescent="0.2">
      <c r="A34" s="416"/>
      <c r="B34" s="467"/>
      <c r="C34" s="470" t="s">
        <v>55</v>
      </c>
      <c r="D34" s="471"/>
      <c r="E34" s="471"/>
      <c r="F34" s="471"/>
      <c r="G34" s="471"/>
      <c r="H34" s="471"/>
      <c r="I34" s="471"/>
      <c r="J34" s="471"/>
      <c r="K34" s="471"/>
      <c r="L34" s="471"/>
      <c r="M34" s="472"/>
    </row>
    <row r="35" spans="1:25" x14ac:dyDescent="0.2">
      <c r="A35" s="416"/>
      <c r="B35" s="467"/>
      <c r="C35" s="21" t="s">
        <v>47</v>
      </c>
      <c r="M35" s="2"/>
    </row>
    <row r="36" spans="1:25" x14ac:dyDescent="0.2">
      <c r="A36" s="416"/>
      <c r="B36" s="467"/>
      <c r="C36" s="22" t="s">
        <v>48</v>
      </c>
      <c r="D36" s="30"/>
      <c r="E36" s="30"/>
      <c r="F36" s="30"/>
      <c r="G36" s="30"/>
      <c r="H36" s="30"/>
      <c r="I36" s="30"/>
      <c r="J36" s="30"/>
      <c r="K36" s="30"/>
      <c r="L36" s="30"/>
      <c r="M36" s="31"/>
    </row>
    <row r="37" spans="1:25" x14ac:dyDescent="0.2">
      <c r="A37" s="416"/>
      <c r="B37" s="467"/>
      <c r="C37" s="22" t="s">
        <v>49</v>
      </c>
      <c r="M37" s="2"/>
    </row>
    <row r="38" spans="1:25" x14ac:dyDescent="0.2">
      <c r="A38" s="416"/>
      <c r="B38" s="467"/>
      <c r="C38" s="101" t="s">
        <v>50</v>
      </c>
      <c r="D38" s="99"/>
      <c r="E38" s="99"/>
      <c r="F38" s="99"/>
      <c r="G38" s="99"/>
      <c r="H38" s="99"/>
      <c r="I38" s="99"/>
      <c r="J38" s="99"/>
      <c r="K38" s="99"/>
      <c r="L38" s="99"/>
      <c r="M38" s="100"/>
    </row>
    <row r="39" spans="1:25" x14ac:dyDescent="0.2">
      <c r="A39" s="416"/>
      <c r="B39" s="467"/>
      <c r="C39" s="22" t="s">
        <v>51</v>
      </c>
      <c r="M39" s="2"/>
    </row>
    <row r="40" spans="1:25" x14ac:dyDescent="0.2">
      <c r="A40" s="416"/>
      <c r="B40" s="467"/>
      <c r="C40" s="22" t="s">
        <v>49</v>
      </c>
      <c r="D40" s="30"/>
      <c r="E40" s="30"/>
      <c r="F40" s="30"/>
      <c r="G40" s="30"/>
      <c r="H40" s="30"/>
      <c r="I40" s="30"/>
      <c r="J40" s="30"/>
      <c r="K40" s="30"/>
      <c r="L40" s="30"/>
      <c r="M40" s="31"/>
    </row>
    <row r="41" spans="1:25" ht="16" thickBot="1" x14ac:dyDescent="0.25">
      <c r="A41" s="416"/>
      <c r="B41" s="468"/>
      <c r="C41" s="23" t="s">
        <v>50</v>
      </c>
      <c r="D41" s="4"/>
      <c r="E41" s="4"/>
      <c r="F41" s="4"/>
      <c r="G41" s="4"/>
      <c r="H41" s="4"/>
      <c r="I41" s="4"/>
      <c r="J41" s="4"/>
      <c r="K41" s="4"/>
      <c r="L41" s="4"/>
      <c r="M41" s="5"/>
    </row>
    <row r="42" spans="1:25" x14ac:dyDescent="0.2">
      <c r="A42" s="416"/>
      <c r="B42" s="466" t="s">
        <v>60</v>
      </c>
      <c r="C42" s="411" t="s">
        <v>56</v>
      </c>
      <c r="D42" s="409"/>
      <c r="E42" s="409"/>
      <c r="F42" s="409"/>
      <c r="G42" s="409"/>
      <c r="H42" s="409"/>
      <c r="I42" s="409"/>
      <c r="J42" s="409"/>
      <c r="K42" s="409"/>
      <c r="L42" s="409"/>
      <c r="M42" s="410"/>
      <c r="N42" s="95"/>
      <c r="O42" s="95"/>
      <c r="P42" s="95"/>
      <c r="Q42" s="95"/>
      <c r="R42" s="95"/>
      <c r="S42" s="95"/>
      <c r="T42" s="95"/>
      <c r="U42" s="95"/>
      <c r="V42" s="95"/>
      <c r="W42" s="95"/>
      <c r="X42" s="95"/>
      <c r="Y42" s="95"/>
    </row>
    <row r="43" spans="1:25" x14ac:dyDescent="0.2">
      <c r="A43" s="416"/>
      <c r="B43" s="467"/>
      <c r="C43" s="21" t="s">
        <v>47</v>
      </c>
      <c r="M43" s="2"/>
      <c r="N43" s="94"/>
    </row>
    <row r="44" spans="1:25" x14ac:dyDescent="0.2">
      <c r="A44" s="416"/>
      <c r="B44" s="467"/>
      <c r="C44" s="22" t="s">
        <v>48</v>
      </c>
      <c r="D44" s="30"/>
      <c r="E44" s="30"/>
      <c r="F44" s="30"/>
      <c r="G44" s="30"/>
      <c r="H44" s="30"/>
      <c r="I44" s="30"/>
      <c r="J44" s="30"/>
      <c r="K44" s="30"/>
      <c r="L44" s="30"/>
      <c r="M44" s="31"/>
      <c r="N44" s="96"/>
    </row>
    <row r="45" spans="1:25" x14ac:dyDescent="0.2">
      <c r="A45" s="416"/>
      <c r="B45" s="467"/>
      <c r="C45" s="22" t="s">
        <v>49</v>
      </c>
      <c r="M45" s="2"/>
      <c r="N45" s="96"/>
    </row>
    <row r="46" spans="1:25" x14ac:dyDescent="0.2">
      <c r="A46" s="416"/>
      <c r="B46" s="467"/>
      <c r="C46" s="101" t="s">
        <v>50</v>
      </c>
      <c r="D46" s="99"/>
      <c r="E46" s="99"/>
      <c r="F46" s="99"/>
      <c r="G46" s="99"/>
      <c r="H46" s="99"/>
      <c r="I46" s="99"/>
      <c r="J46" s="99"/>
      <c r="K46" s="99"/>
      <c r="L46" s="99"/>
      <c r="M46" s="100"/>
      <c r="N46" s="96"/>
    </row>
    <row r="47" spans="1:25" x14ac:dyDescent="0.2">
      <c r="A47" s="416"/>
      <c r="B47" s="467"/>
      <c r="C47" s="22" t="s">
        <v>51</v>
      </c>
      <c r="M47" s="2"/>
      <c r="N47" s="96"/>
    </row>
    <row r="48" spans="1:25" x14ac:dyDescent="0.2">
      <c r="A48" s="416"/>
      <c r="B48" s="467"/>
      <c r="C48" s="22" t="s">
        <v>49</v>
      </c>
      <c r="D48" s="30"/>
      <c r="E48" s="30"/>
      <c r="F48" s="30"/>
      <c r="G48" s="30"/>
      <c r="H48" s="30"/>
      <c r="I48" s="30"/>
      <c r="J48" s="30"/>
      <c r="K48" s="30"/>
      <c r="L48" s="30"/>
      <c r="M48" s="31"/>
      <c r="N48" s="96"/>
    </row>
    <row r="49" spans="1:14" x14ac:dyDescent="0.2">
      <c r="A49" s="416"/>
      <c r="B49" s="467"/>
      <c r="C49" s="22" t="s">
        <v>50</v>
      </c>
      <c r="M49" s="2"/>
      <c r="N49" s="96"/>
    </row>
    <row r="50" spans="1:14" x14ac:dyDescent="0.2">
      <c r="A50" s="416"/>
      <c r="B50" s="467"/>
      <c r="C50" s="470" t="s">
        <v>57</v>
      </c>
      <c r="D50" s="471"/>
      <c r="E50" s="471"/>
      <c r="F50" s="471"/>
      <c r="G50" s="471"/>
      <c r="H50" s="471"/>
      <c r="I50" s="471"/>
      <c r="J50" s="471"/>
      <c r="K50" s="471"/>
      <c r="L50" s="471"/>
      <c r="M50" s="472"/>
      <c r="N50" s="96"/>
    </row>
    <row r="51" spans="1:14" x14ac:dyDescent="0.2">
      <c r="A51" s="416"/>
      <c r="B51" s="467"/>
      <c r="C51" s="21" t="s">
        <v>47</v>
      </c>
      <c r="M51" s="2"/>
      <c r="N51" s="96"/>
    </row>
    <row r="52" spans="1:14" x14ac:dyDescent="0.2">
      <c r="A52" s="416"/>
      <c r="B52" s="467"/>
      <c r="C52" s="22" t="s">
        <v>48</v>
      </c>
      <c r="D52" s="30"/>
      <c r="E52" s="30"/>
      <c r="F52" s="30"/>
      <c r="G52" s="30"/>
      <c r="H52" s="30"/>
      <c r="I52" s="30"/>
      <c r="J52" s="30"/>
      <c r="K52" s="30"/>
      <c r="L52" s="30"/>
      <c r="M52" s="31"/>
      <c r="N52" s="96"/>
    </row>
    <row r="53" spans="1:14" x14ac:dyDescent="0.2">
      <c r="A53" s="416"/>
      <c r="B53" s="467"/>
      <c r="C53" s="22" t="s">
        <v>49</v>
      </c>
      <c r="M53" s="2"/>
      <c r="N53" s="96"/>
    </row>
    <row r="54" spans="1:14" x14ac:dyDescent="0.2">
      <c r="A54" s="416"/>
      <c r="B54" s="467"/>
      <c r="C54" s="101" t="s">
        <v>50</v>
      </c>
      <c r="D54" s="99"/>
      <c r="E54" s="99"/>
      <c r="F54" s="99"/>
      <c r="G54" s="99"/>
      <c r="H54" s="99"/>
      <c r="I54" s="99"/>
      <c r="J54" s="99"/>
      <c r="K54" s="99"/>
      <c r="L54" s="99"/>
      <c r="M54" s="100"/>
      <c r="N54" s="96"/>
    </row>
    <row r="55" spans="1:14" x14ac:dyDescent="0.2">
      <c r="A55" s="416"/>
      <c r="B55" s="467"/>
      <c r="C55" s="22" t="s">
        <v>51</v>
      </c>
      <c r="M55" s="2"/>
      <c r="N55" s="96"/>
    </row>
    <row r="56" spans="1:14" x14ac:dyDescent="0.2">
      <c r="A56" s="416"/>
      <c r="B56" s="467"/>
      <c r="C56" s="22" t="s">
        <v>49</v>
      </c>
      <c r="D56" s="30"/>
      <c r="E56" s="30"/>
      <c r="F56" s="30"/>
      <c r="G56" s="30"/>
      <c r="H56" s="30"/>
      <c r="I56" s="30"/>
      <c r="J56" s="30"/>
      <c r="K56" s="30"/>
      <c r="L56" s="30"/>
      <c r="M56" s="31"/>
      <c r="N56" s="96"/>
    </row>
    <row r="57" spans="1:14" x14ac:dyDescent="0.2">
      <c r="A57" s="416"/>
      <c r="B57" s="467"/>
      <c r="C57" s="22" t="s">
        <v>50</v>
      </c>
      <c r="M57" s="2"/>
      <c r="N57" s="96"/>
    </row>
    <row r="58" spans="1:14" x14ac:dyDescent="0.2">
      <c r="A58" s="416"/>
      <c r="B58" s="467"/>
      <c r="C58" s="470" t="s">
        <v>54</v>
      </c>
      <c r="D58" s="471"/>
      <c r="E58" s="471"/>
      <c r="F58" s="471"/>
      <c r="G58" s="471"/>
      <c r="H58" s="471"/>
      <c r="I58" s="471"/>
      <c r="J58" s="471"/>
      <c r="K58" s="471"/>
      <c r="L58" s="471"/>
      <c r="M58" s="472"/>
      <c r="N58" s="96"/>
    </row>
    <row r="59" spans="1:14" x14ac:dyDescent="0.2">
      <c r="A59" s="416"/>
      <c r="B59" s="467"/>
      <c r="C59" s="21" t="s">
        <v>47</v>
      </c>
      <c r="M59" s="2"/>
      <c r="N59" s="96"/>
    </row>
    <row r="60" spans="1:14" x14ac:dyDescent="0.2">
      <c r="A60" s="416"/>
      <c r="B60" s="467"/>
      <c r="C60" s="22" t="s">
        <v>48</v>
      </c>
      <c r="D60" s="30"/>
      <c r="E60" s="30"/>
      <c r="F60" s="30"/>
      <c r="G60" s="30"/>
      <c r="H60" s="30"/>
      <c r="I60" s="30"/>
      <c r="J60" s="30"/>
      <c r="K60" s="30"/>
      <c r="L60" s="30"/>
      <c r="M60" s="31"/>
      <c r="N60" s="96"/>
    </row>
    <row r="61" spans="1:14" x14ac:dyDescent="0.2">
      <c r="A61" s="416"/>
      <c r="B61" s="467"/>
      <c r="C61" s="22" t="s">
        <v>49</v>
      </c>
      <c r="M61" s="2"/>
      <c r="N61" s="96"/>
    </row>
    <row r="62" spans="1:14" x14ac:dyDescent="0.2">
      <c r="A62" s="416"/>
      <c r="B62" s="467"/>
      <c r="C62" s="101" t="s">
        <v>50</v>
      </c>
      <c r="D62" s="99"/>
      <c r="E62" s="99"/>
      <c r="F62" s="99"/>
      <c r="G62" s="99"/>
      <c r="H62" s="99"/>
      <c r="I62" s="99"/>
      <c r="J62" s="99"/>
      <c r="K62" s="99"/>
      <c r="L62" s="99"/>
      <c r="M62" s="100"/>
      <c r="N62" s="96"/>
    </row>
    <row r="63" spans="1:14" x14ac:dyDescent="0.2">
      <c r="A63" s="416"/>
      <c r="B63" s="467"/>
      <c r="C63" s="22" t="s">
        <v>51</v>
      </c>
      <c r="M63" s="2"/>
      <c r="N63" s="96"/>
    </row>
    <row r="64" spans="1:14" x14ac:dyDescent="0.2">
      <c r="A64" s="416"/>
      <c r="B64" s="467"/>
      <c r="C64" s="22" t="s">
        <v>49</v>
      </c>
      <c r="D64" s="30"/>
      <c r="E64" s="30"/>
      <c r="F64" s="30"/>
      <c r="G64" s="30"/>
      <c r="H64" s="30"/>
      <c r="I64" s="30"/>
      <c r="J64" s="30"/>
      <c r="K64" s="30"/>
      <c r="L64" s="30"/>
      <c r="M64" s="31"/>
      <c r="N64" s="96"/>
    </row>
    <row r="65" spans="1:14" x14ac:dyDescent="0.2">
      <c r="A65" s="416"/>
      <c r="B65" s="467"/>
      <c r="C65" s="22" t="s">
        <v>50</v>
      </c>
      <c r="M65" s="2"/>
      <c r="N65" s="96"/>
    </row>
    <row r="66" spans="1:14" x14ac:dyDescent="0.2">
      <c r="A66" s="416"/>
      <c r="B66" s="467"/>
      <c r="C66" s="470" t="s">
        <v>55</v>
      </c>
      <c r="D66" s="471"/>
      <c r="E66" s="471"/>
      <c r="F66" s="471"/>
      <c r="G66" s="471"/>
      <c r="H66" s="471"/>
      <c r="I66" s="471"/>
      <c r="J66" s="471"/>
      <c r="K66" s="471"/>
      <c r="L66" s="471"/>
      <c r="M66" s="472"/>
      <c r="N66" s="96"/>
    </row>
    <row r="67" spans="1:14" x14ac:dyDescent="0.2">
      <c r="A67" s="416"/>
      <c r="B67" s="467"/>
      <c r="C67" s="21" t="s">
        <v>47</v>
      </c>
      <c r="M67" s="2"/>
      <c r="N67" s="96"/>
    </row>
    <row r="68" spans="1:14" x14ac:dyDescent="0.2">
      <c r="A68" s="416"/>
      <c r="B68" s="467"/>
      <c r="C68" s="22" t="s">
        <v>48</v>
      </c>
      <c r="D68" s="30"/>
      <c r="E68" s="30"/>
      <c r="F68" s="30"/>
      <c r="G68" s="30"/>
      <c r="H68" s="30"/>
      <c r="I68" s="30"/>
      <c r="J68" s="30"/>
      <c r="K68" s="30"/>
      <c r="L68" s="30"/>
      <c r="M68" s="31"/>
      <c r="N68" s="96"/>
    </row>
    <row r="69" spans="1:14" x14ac:dyDescent="0.2">
      <c r="A69" s="416"/>
      <c r="B69" s="467"/>
      <c r="C69" s="22" t="s">
        <v>49</v>
      </c>
      <c r="M69" s="2"/>
      <c r="N69" s="96"/>
    </row>
    <row r="70" spans="1:14" x14ac:dyDescent="0.2">
      <c r="A70" s="416"/>
      <c r="B70" s="467"/>
      <c r="C70" s="101" t="s">
        <v>50</v>
      </c>
      <c r="D70" s="99"/>
      <c r="E70" s="99"/>
      <c r="F70" s="99"/>
      <c r="G70" s="99"/>
      <c r="H70" s="99"/>
      <c r="I70" s="99"/>
      <c r="J70" s="99"/>
      <c r="K70" s="99"/>
      <c r="L70" s="99"/>
      <c r="M70" s="100"/>
      <c r="N70" s="96"/>
    </row>
    <row r="71" spans="1:14" x14ac:dyDescent="0.2">
      <c r="A71" s="416"/>
      <c r="B71" s="467"/>
      <c r="C71" s="22" t="s">
        <v>51</v>
      </c>
      <c r="M71" s="2"/>
      <c r="N71" s="96"/>
    </row>
    <row r="72" spans="1:14" x14ac:dyDescent="0.2">
      <c r="A72" s="416"/>
      <c r="B72" s="467"/>
      <c r="C72" s="22" t="s">
        <v>49</v>
      </c>
      <c r="D72" s="30"/>
      <c r="E72" s="30"/>
      <c r="F72" s="30"/>
      <c r="G72" s="30"/>
      <c r="H72" s="30"/>
      <c r="I72" s="30"/>
      <c r="J72" s="30"/>
      <c r="K72" s="30"/>
      <c r="L72" s="30"/>
      <c r="M72" s="31"/>
      <c r="N72" s="96"/>
    </row>
    <row r="73" spans="1:14" ht="16" thickBot="1" x14ac:dyDescent="0.25">
      <c r="A73" s="417"/>
      <c r="B73" s="468"/>
      <c r="C73" s="23" t="s">
        <v>50</v>
      </c>
      <c r="D73" s="4"/>
      <c r="E73" s="4"/>
      <c r="F73" s="4"/>
      <c r="G73" s="4"/>
      <c r="H73" s="4"/>
      <c r="I73" s="4"/>
      <c r="J73" s="4"/>
      <c r="K73" s="4"/>
      <c r="L73" s="4"/>
      <c r="M73" s="5"/>
      <c r="N73" s="96"/>
    </row>
    <row r="74" spans="1:14" x14ac:dyDescent="0.2">
      <c r="B74" s="94"/>
      <c r="N74" s="96"/>
    </row>
    <row r="75" spans="1:14" x14ac:dyDescent="0.2">
      <c r="B75" s="94"/>
    </row>
    <row r="76" spans="1:14" x14ac:dyDescent="0.2">
      <c r="B76" s="94"/>
    </row>
    <row r="77" spans="1:14" x14ac:dyDescent="0.2">
      <c r="B77" s="94"/>
    </row>
    <row r="78" spans="1:14" x14ac:dyDescent="0.2">
      <c r="B78" s="94"/>
    </row>
    <row r="79" spans="1:14" x14ac:dyDescent="0.2">
      <c r="B79" s="94"/>
    </row>
    <row r="80" spans="1:14" x14ac:dyDescent="0.2">
      <c r="B80" s="94"/>
    </row>
    <row r="81" spans="2:13" x14ac:dyDescent="0.2">
      <c r="B81" s="94"/>
    </row>
    <row r="82" spans="2:13" x14ac:dyDescent="0.2">
      <c r="B82" s="94"/>
    </row>
    <row r="83" spans="2:13" x14ac:dyDescent="0.2">
      <c r="B83" s="94"/>
    </row>
    <row r="84" spans="2:13" x14ac:dyDescent="0.2">
      <c r="B84" s="94"/>
    </row>
    <row r="95" spans="2:13" x14ac:dyDescent="0.2">
      <c r="C95" s="469"/>
      <c r="D95" s="469"/>
      <c r="E95" s="469"/>
      <c r="F95" s="469"/>
      <c r="G95" s="469"/>
      <c r="H95" s="469"/>
      <c r="I95" s="469"/>
      <c r="J95" s="469"/>
      <c r="K95" s="469"/>
      <c r="L95" s="469"/>
      <c r="M95" s="469"/>
    </row>
    <row r="105" spans="3:13" x14ac:dyDescent="0.2">
      <c r="C105" s="469"/>
      <c r="D105" s="469"/>
      <c r="E105" s="469"/>
      <c r="F105" s="469"/>
      <c r="G105" s="469"/>
      <c r="H105" s="469"/>
      <c r="I105" s="469"/>
      <c r="J105" s="469"/>
      <c r="K105" s="469"/>
      <c r="L105" s="469"/>
      <c r="M105" s="469"/>
    </row>
    <row r="115" spans="3:13" x14ac:dyDescent="0.2">
      <c r="C115" s="469"/>
      <c r="D115" s="469"/>
      <c r="E115" s="469"/>
      <c r="F115" s="469"/>
      <c r="G115" s="469"/>
      <c r="H115" s="469"/>
      <c r="I115" s="469"/>
      <c r="J115" s="469"/>
      <c r="K115" s="469"/>
      <c r="L115" s="469"/>
      <c r="M115" s="469"/>
    </row>
  </sheetData>
  <mergeCells count="16">
    <mergeCell ref="B42:B73"/>
    <mergeCell ref="A2:A73"/>
    <mergeCell ref="A1:M1"/>
    <mergeCell ref="C115:M115"/>
    <mergeCell ref="C95:M95"/>
    <mergeCell ref="C105:M105"/>
    <mergeCell ref="C50:M50"/>
    <mergeCell ref="C58:M58"/>
    <mergeCell ref="C66:M66"/>
    <mergeCell ref="B2:B41"/>
    <mergeCell ref="C2:M2"/>
    <mergeCell ref="C10:M10"/>
    <mergeCell ref="C18:M18"/>
    <mergeCell ref="C26:M26"/>
    <mergeCell ref="C34:M34"/>
    <mergeCell ref="C42:M4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61154-3A5F-4289-9C93-20C178DAA8A2}">
  <sheetPr codeName="Sheet9">
    <tabColor theme="6"/>
  </sheetPr>
  <dimension ref="A1:I54"/>
  <sheetViews>
    <sheetView workbookViewId="0">
      <selection activeCell="F27" sqref="F27"/>
    </sheetView>
  </sheetViews>
  <sheetFormatPr baseColWidth="10" defaultColWidth="8.83203125" defaultRowHeight="15" x14ac:dyDescent="0.2"/>
  <cols>
    <col min="1" max="1" width="3" customWidth="1"/>
    <col min="2" max="2" width="20.6640625" customWidth="1"/>
    <col min="3" max="3" width="50.6640625" customWidth="1"/>
    <col min="4" max="4" width="3.5" customWidth="1"/>
    <col min="5" max="5" width="20.6640625" customWidth="1"/>
    <col min="6" max="6" width="50.6640625" customWidth="1"/>
    <col min="7" max="7" width="3.5" customWidth="1"/>
    <col min="8" max="8" width="20.6640625" customWidth="1"/>
    <col min="9" max="9" width="50.6640625" customWidth="1"/>
  </cols>
  <sheetData>
    <row r="1" spans="1:9" ht="38" thickBot="1" x14ac:dyDescent="0.5">
      <c r="A1" s="498" t="s">
        <v>104</v>
      </c>
      <c r="B1" s="499"/>
      <c r="C1" s="499"/>
      <c r="D1" s="499"/>
      <c r="E1" s="499"/>
      <c r="F1" s="500"/>
      <c r="G1" s="500"/>
      <c r="H1" s="500"/>
      <c r="I1" s="501"/>
    </row>
    <row r="2" spans="1:9" ht="19" x14ac:dyDescent="0.25">
      <c r="A2" s="84"/>
      <c r="B2" s="504" t="s">
        <v>105</v>
      </c>
      <c r="C2" s="505"/>
      <c r="D2" s="78"/>
      <c r="E2" s="492" t="s">
        <v>106</v>
      </c>
      <c r="F2" s="493"/>
      <c r="G2" s="87"/>
      <c r="H2" s="473" t="s">
        <v>107</v>
      </c>
      <c r="I2" s="474"/>
    </row>
    <row r="3" spans="1:9" x14ac:dyDescent="0.2">
      <c r="A3" s="85"/>
      <c r="B3" s="69" t="s">
        <v>108</v>
      </c>
      <c r="C3" s="70" t="s">
        <v>68</v>
      </c>
      <c r="D3" s="79"/>
      <c r="E3" s="73" t="s">
        <v>108</v>
      </c>
      <c r="F3" s="74" t="s">
        <v>68</v>
      </c>
      <c r="G3" s="88"/>
      <c r="H3" s="90" t="s">
        <v>108</v>
      </c>
      <c r="I3" s="91" t="s">
        <v>68</v>
      </c>
    </row>
    <row r="4" spans="1:9" x14ac:dyDescent="0.2">
      <c r="A4" s="85"/>
      <c r="B4" s="71"/>
      <c r="C4" s="494" t="s">
        <v>115</v>
      </c>
      <c r="D4" s="79"/>
      <c r="E4" s="75"/>
      <c r="F4" s="506" t="s">
        <v>119</v>
      </c>
      <c r="G4" s="88"/>
      <c r="H4" s="92"/>
      <c r="I4" s="487" t="s">
        <v>116</v>
      </c>
    </row>
    <row r="5" spans="1:9" x14ac:dyDescent="0.2">
      <c r="A5" s="85"/>
      <c r="B5" s="71"/>
      <c r="C5" s="502"/>
      <c r="D5" s="79"/>
      <c r="E5" s="75"/>
      <c r="F5" s="507"/>
      <c r="G5" s="88"/>
      <c r="H5" s="92"/>
      <c r="I5" s="487"/>
    </row>
    <row r="6" spans="1:9" ht="16" thickBot="1" x14ac:dyDescent="0.25">
      <c r="A6" s="85"/>
      <c r="B6" s="71"/>
      <c r="C6" s="503"/>
      <c r="D6" s="79"/>
      <c r="E6" s="77"/>
      <c r="F6" s="507"/>
      <c r="G6" s="88"/>
      <c r="H6" s="92"/>
      <c r="I6" s="487"/>
    </row>
    <row r="7" spans="1:9" ht="19" x14ac:dyDescent="0.25">
      <c r="A7" s="85"/>
      <c r="B7" s="71"/>
      <c r="C7" s="494" t="s">
        <v>117</v>
      </c>
      <c r="D7" s="79"/>
      <c r="E7" s="492" t="s">
        <v>111</v>
      </c>
      <c r="F7" s="493"/>
      <c r="G7" s="88"/>
      <c r="H7" s="92"/>
      <c r="I7" s="487" t="s">
        <v>118</v>
      </c>
    </row>
    <row r="8" spans="1:9" x14ac:dyDescent="0.2">
      <c r="A8" s="85"/>
      <c r="B8" s="71"/>
      <c r="C8" s="502"/>
      <c r="D8" s="79"/>
      <c r="E8" s="75"/>
      <c r="F8" s="490" t="s">
        <v>342</v>
      </c>
      <c r="G8" s="88"/>
      <c r="H8" s="92"/>
      <c r="I8" s="487"/>
    </row>
    <row r="9" spans="1:9" ht="16" thickBot="1" x14ac:dyDescent="0.25">
      <c r="A9" s="85"/>
      <c r="B9" s="21"/>
      <c r="C9" s="502"/>
      <c r="D9" s="79"/>
      <c r="E9" s="75"/>
      <c r="F9" s="490"/>
      <c r="G9" s="88"/>
      <c r="H9" s="9"/>
      <c r="I9" s="488"/>
    </row>
    <row r="10" spans="1:9" ht="20" thickBot="1" x14ac:dyDescent="0.3">
      <c r="A10" s="85"/>
      <c r="B10" s="475" t="s">
        <v>109</v>
      </c>
      <c r="C10" s="476"/>
      <c r="D10" s="79"/>
      <c r="E10" s="77"/>
      <c r="F10" s="506"/>
      <c r="G10" s="88"/>
      <c r="H10" s="473" t="s">
        <v>113</v>
      </c>
      <c r="I10" s="474"/>
    </row>
    <row r="11" spans="1:9" ht="19" x14ac:dyDescent="0.25">
      <c r="A11" s="85"/>
      <c r="B11" s="71"/>
      <c r="C11" s="485" t="s">
        <v>343</v>
      </c>
      <c r="D11" s="79"/>
      <c r="E11" s="492" t="s">
        <v>112</v>
      </c>
      <c r="F11" s="493"/>
      <c r="G11" s="88"/>
      <c r="H11" s="92"/>
      <c r="I11" s="487" t="s">
        <v>345</v>
      </c>
    </row>
    <row r="12" spans="1:9" x14ac:dyDescent="0.2">
      <c r="A12" s="85"/>
      <c r="B12" s="71"/>
      <c r="C12" s="485"/>
      <c r="D12" s="79"/>
      <c r="E12" s="75"/>
      <c r="F12" s="490" t="s">
        <v>126</v>
      </c>
      <c r="G12" s="88"/>
      <c r="H12" s="92"/>
      <c r="I12" s="487"/>
    </row>
    <row r="13" spans="1:9" x14ac:dyDescent="0.2">
      <c r="A13" s="85"/>
      <c r="B13" s="71"/>
      <c r="C13" s="485"/>
      <c r="D13" s="79"/>
      <c r="E13" s="75"/>
      <c r="F13" s="490"/>
      <c r="G13" s="88"/>
      <c r="H13" s="92"/>
      <c r="I13" s="487"/>
    </row>
    <row r="14" spans="1:9" x14ac:dyDescent="0.2">
      <c r="A14" s="85"/>
      <c r="B14" s="71"/>
      <c r="C14" s="485" t="s">
        <v>344</v>
      </c>
      <c r="D14" s="79"/>
      <c r="E14" s="75"/>
      <c r="F14" s="490"/>
      <c r="G14" s="88"/>
      <c r="H14" s="92"/>
      <c r="I14" s="487" t="s">
        <v>346</v>
      </c>
    </row>
    <row r="15" spans="1:9" x14ac:dyDescent="0.2">
      <c r="A15" s="85"/>
      <c r="B15" s="71"/>
      <c r="C15" s="485"/>
      <c r="D15" s="79"/>
      <c r="E15" s="75"/>
      <c r="F15" s="490" t="s">
        <v>357</v>
      </c>
      <c r="G15" s="88"/>
      <c r="H15" s="92"/>
      <c r="I15" s="487"/>
    </row>
    <row r="16" spans="1:9" ht="16" thickBot="1" x14ac:dyDescent="0.25">
      <c r="A16" s="85"/>
      <c r="B16" s="21"/>
      <c r="C16" s="494"/>
      <c r="D16" s="79"/>
      <c r="E16" s="75"/>
      <c r="F16" s="490"/>
      <c r="G16" s="88"/>
      <c r="H16" s="9"/>
      <c r="I16" s="488"/>
    </row>
    <row r="17" spans="1:9" ht="20" thickBot="1" x14ac:dyDescent="0.3">
      <c r="A17" s="85"/>
      <c r="B17" s="475" t="s">
        <v>110</v>
      </c>
      <c r="C17" s="476"/>
      <c r="D17" s="79"/>
      <c r="E17" s="76"/>
      <c r="F17" s="491"/>
      <c r="G17" s="88"/>
      <c r="H17" s="473" t="s">
        <v>114</v>
      </c>
      <c r="I17" s="474"/>
    </row>
    <row r="18" spans="1:9" ht="19" x14ac:dyDescent="0.25">
      <c r="A18" s="85"/>
      <c r="B18" s="71"/>
      <c r="C18" s="485" t="s">
        <v>120</v>
      </c>
      <c r="D18" s="79"/>
      <c r="E18" s="492" t="s">
        <v>112</v>
      </c>
      <c r="F18" s="493"/>
      <c r="G18" s="88"/>
      <c r="H18" s="92"/>
      <c r="I18" s="487" t="s">
        <v>123</v>
      </c>
    </row>
    <row r="19" spans="1:9" x14ac:dyDescent="0.2">
      <c r="A19" s="85"/>
      <c r="B19" s="71"/>
      <c r="C19" s="485"/>
      <c r="D19" s="79"/>
      <c r="E19" s="161"/>
      <c r="F19" s="495" t="s">
        <v>350</v>
      </c>
      <c r="G19" s="88"/>
      <c r="H19" s="92"/>
      <c r="I19" s="487"/>
    </row>
    <row r="20" spans="1:9" x14ac:dyDescent="0.2">
      <c r="A20" s="85"/>
      <c r="B20" s="71"/>
      <c r="C20" s="485"/>
      <c r="D20" s="79"/>
      <c r="E20" s="161"/>
      <c r="F20" s="496"/>
      <c r="G20" s="88"/>
      <c r="H20" s="92"/>
      <c r="I20" s="487"/>
    </row>
    <row r="21" spans="1:9" ht="16" thickBot="1" x14ac:dyDescent="0.25">
      <c r="A21" s="85"/>
      <c r="B21" s="71"/>
      <c r="C21" s="485" t="s">
        <v>121</v>
      </c>
      <c r="D21" s="79"/>
      <c r="E21" s="162"/>
      <c r="F21" s="497"/>
      <c r="G21" s="88"/>
      <c r="H21" s="92"/>
      <c r="I21" s="487" t="s">
        <v>124</v>
      </c>
    </row>
    <row r="22" spans="1:9" x14ac:dyDescent="0.2">
      <c r="A22" s="85"/>
      <c r="B22" s="71"/>
      <c r="C22" s="485"/>
      <c r="D22" s="79"/>
      <c r="E22" s="67"/>
      <c r="F22" s="80"/>
      <c r="G22" s="88"/>
      <c r="H22" s="92"/>
      <c r="I22" s="487"/>
    </row>
    <row r="23" spans="1:9" x14ac:dyDescent="0.2">
      <c r="A23" s="85"/>
      <c r="B23" s="71"/>
      <c r="C23" s="485"/>
      <c r="D23" s="79"/>
      <c r="E23" s="67"/>
      <c r="F23" s="80"/>
      <c r="G23" s="88"/>
      <c r="H23" s="92"/>
      <c r="I23" s="487"/>
    </row>
    <row r="24" spans="1:9" x14ac:dyDescent="0.2">
      <c r="A24" s="85"/>
      <c r="B24" s="71"/>
      <c r="C24" s="485" t="s">
        <v>122</v>
      </c>
      <c r="D24" s="79"/>
      <c r="E24" s="67"/>
      <c r="F24" s="80"/>
      <c r="G24" s="88"/>
      <c r="H24" s="92"/>
      <c r="I24" s="487" t="s">
        <v>125</v>
      </c>
    </row>
    <row r="25" spans="1:9" x14ac:dyDescent="0.2">
      <c r="A25" s="85"/>
      <c r="B25" s="71"/>
      <c r="C25" s="485"/>
      <c r="D25" s="79"/>
      <c r="E25" s="67"/>
      <c r="F25" s="80"/>
      <c r="G25" s="88"/>
      <c r="H25" s="92"/>
      <c r="I25" s="487"/>
    </row>
    <row r="26" spans="1:9" ht="16" thickBot="1" x14ac:dyDescent="0.25">
      <c r="A26" s="85"/>
      <c r="B26" s="72"/>
      <c r="C26" s="486"/>
      <c r="D26" s="79"/>
      <c r="E26" s="67"/>
      <c r="F26" s="80"/>
      <c r="G26" s="88"/>
      <c r="H26" s="93"/>
      <c r="I26" s="489"/>
    </row>
    <row r="27" spans="1:9" ht="19" x14ac:dyDescent="0.25">
      <c r="A27" s="85"/>
      <c r="B27" s="475" t="s">
        <v>260</v>
      </c>
      <c r="C27" s="476"/>
      <c r="D27" s="79"/>
      <c r="E27" s="67"/>
      <c r="F27" s="80"/>
      <c r="G27" s="88"/>
      <c r="H27" s="473" t="s">
        <v>261</v>
      </c>
      <c r="I27" s="474"/>
    </row>
    <row r="28" spans="1:9" x14ac:dyDescent="0.2">
      <c r="A28" s="85"/>
      <c r="B28" s="48"/>
      <c r="C28" s="481" t="s">
        <v>341</v>
      </c>
      <c r="D28" s="79"/>
      <c r="E28" s="67"/>
      <c r="F28" s="80"/>
      <c r="G28" s="88"/>
      <c r="H28" s="40"/>
      <c r="I28" s="477" t="s">
        <v>348</v>
      </c>
    </row>
    <row r="29" spans="1:9" x14ac:dyDescent="0.2">
      <c r="A29" s="85"/>
      <c r="B29" s="48"/>
      <c r="C29" s="482"/>
      <c r="D29" s="79"/>
      <c r="E29" s="67"/>
      <c r="F29" s="80"/>
      <c r="G29" s="88"/>
      <c r="H29" s="40"/>
      <c r="I29" s="478"/>
    </row>
    <row r="30" spans="1:9" x14ac:dyDescent="0.2">
      <c r="A30" s="85"/>
      <c r="B30" s="48"/>
      <c r="C30" s="483"/>
      <c r="D30" s="79"/>
      <c r="E30" s="67"/>
      <c r="F30" s="80"/>
      <c r="G30" s="88"/>
      <c r="H30" s="40"/>
      <c r="I30" s="479"/>
    </row>
    <row r="31" spans="1:9" x14ac:dyDescent="0.2">
      <c r="A31" s="85"/>
      <c r="B31" s="48"/>
      <c r="C31" s="481" t="s">
        <v>347</v>
      </c>
      <c r="D31" s="79"/>
      <c r="E31" s="67"/>
      <c r="F31" s="80"/>
      <c r="G31" s="88"/>
      <c r="H31" s="40"/>
      <c r="I31" s="478" t="s">
        <v>348</v>
      </c>
    </row>
    <row r="32" spans="1:9" x14ac:dyDescent="0.2">
      <c r="A32" s="85"/>
      <c r="B32" s="48"/>
      <c r="C32" s="482"/>
      <c r="D32" s="79"/>
      <c r="E32" s="67"/>
      <c r="F32" s="80"/>
      <c r="G32" s="88"/>
      <c r="H32" s="40"/>
      <c r="I32" s="478"/>
    </row>
    <row r="33" spans="1:9" ht="16" thickBot="1" x14ac:dyDescent="0.25">
      <c r="A33" s="85"/>
      <c r="B33" s="51"/>
      <c r="C33" s="484"/>
      <c r="D33" s="79"/>
      <c r="E33" s="67"/>
      <c r="F33" s="80"/>
      <c r="G33" s="88"/>
      <c r="H33" s="42"/>
      <c r="I33" s="480"/>
    </row>
    <row r="34" spans="1:9" x14ac:dyDescent="0.2">
      <c r="A34" s="85"/>
      <c r="B34" s="49"/>
      <c r="C34" s="50"/>
      <c r="D34" s="79"/>
      <c r="E34" s="67"/>
      <c r="F34" s="80"/>
      <c r="G34" s="88"/>
      <c r="H34" s="38"/>
      <c r="I34" s="41"/>
    </row>
    <row r="35" spans="1:9" ht="16" thickBot="1" x14ac:dyDescent="0.25">
      <c r="A35" s="86"/>
      <c r="B35" s="52"/>
      <c r="C35" s="53"/>
      <c r="D35" s="81"/>
      <c r="E35" s="82"/>
      <c r="F35" s="83"/>
      <c r="G35" s="89"/>
      <c r="H35" s="43"/>
      <c r="I35" s="44"/>
    </row>
    <row r="36" spans="1:9" x14ac:dyDescent="0.2">
      <c r="E36" s="68"/>
      <c r="F36" s="68"/>
    </row>
    <row r="37" spans="1:9" x14ac:dyDescent="0.2">
      <c r="E37" s="68"/>
      <c r="F37" s="68"/>
    </row>
    <row r="38" spans="1:9" x14ac:dyDescent="0.2">
      <c r="E38" s="68"/>
      <c r="F38" s="68"/>
    </row>
    <row r="39" spans="1:9" x14ac:dyDescent="0.2">
      <c r="E39" s="68"/>
      <c r="F39" s="68"/>
    </row>
    <row r="40" spans="1:9" x14ac:dyDescent="0.2">
      <c r="E40" s="68"/>
      <c r="F40" s="68"/>
    </row>
    <row r="41" spans="1:9" x14ac:dyDescent="0.2">
      <c r="E41" s="68"/>
      <c r="F41" s="68"/>
    </row>
    <row r="42" spans="1:9" x14ac:dyDescent="0.2">
      <c r="E42" s="68"/>
      <c r="F42" s="68"/>
    </row>
    <row r="43" spans="1:9" x14ac:dyDescent="0.2">
      <c r="E43" s="68"/>
      <c r="F43" s="68"/>
    </row>
    <row r="44" spans="1:9" x14ac:dyDescent="0.2">
      <c r="E44" s="68"/>
      <c r="F44" s="68"/>
    </row>
    <row r="45" spans="1:9" x14ac:dyDescent="0.2">
      <c r="E45" s="68"/>
      <c r="F45" s="68"/>
    </row>
    <row r="46" spans="1:9" x14ac:dyDescent="0.2">
      <c r="E46" s="68"/>
      <c r="F46" s="68"/>
    </row>
    <row r="47" spans="1:9" x14ac:dyDescent="0.2">
      <c r="E47" s="68"/>
      <c r="F47" s="68"/>
    </row>
    <row r="48" spans="1:9" x14ac:dyDescent="0.2">
      <c r="E48" s="68"/>
      <c r="F48" s="68"/>
    </row>
    <row r="49" spans="5:6" x14ac:dyDescent="0.2">
      <c r="E49" s="68"/>
      <c r="F49" s="68"/>
    </row>
    <row r="50" spans="5:6" x14ac:dyDescent="0.2">
      <c r="E50" s="68"/>
      <c r="F50" s="68"/>
    </row>
    <row r="51" spans="5:6" x14ac:dyDescent="0.2">
      <c r="E51" s="68"/>
      <c r="F51" s="68"/>
    </row>
    <row r="52" spans="5:6" x14ac:dyDescent="0.2">
      <c r="E52" s="68"/>
      <c r="F52" s="68"/>
    </row>
    <row r="53" spans="5:6" x14ac:dyDescent="0.2">
      <c r="E53" s="68"/>
      <c r="F53" s="68"/>
    </row>
    <row r="54" spans="5:6" x14ac:dyDescent="0.2">
      <c r="E54" s="68"/>
      <c r="F54" s="68"/>
    </row>
  </sheetData>
  <mergeCells count="37">
    <mergeCell ref="H10:I10"/>
    <mergeCell ref="H17:I17"/>
    <mergeCell ref="B17:C17"/>
    <mergeCell ref="A1:E1"/>
    <mergeCell ref="F1:I1"/>
    <mergeCell ref="C4:C6"/>
    <mergeCell ref="C7:C9"/>
    <mergeCell ref="B2:C2"/>
    <mergeCell ref="E2:F2"/>
    <mergeCell ref="H2:I2"/>
    <mergeCell ref="B10:C10"/>
    <mergeCell ref="E7:F7"/>
    <mergeCell ref="I4:I6"/>
    <mergeCell ref="I7:I9"/>
    <mergeCell ref="F4:F6"/>
    <mergeCell ref="F8:F10"/>
    <mergeCell ref="C18:C20"/>
    <mergeCell ref="C21:C23"/>
    <mergeCell ref="C24:C26"/>
    <mergeCell ref="I11:I13"/>
    <mergeCell ref="I14:I16"/>
    <mergeCell ref="I18:I20"/>
    <mergeCell ref="I21:I23"/>
    <mergeCell ref="I24:I26"/>
    <mergeCell ref="F12:F14"/>
    <mergeCell ref="F15:F17"/>
    <mergeCell ref="E11:F11"/>
    <mergeCell ref="C11:C13"/>
    <mergeCell ref="C14:C16"/>
    <mergeCell ref="E18:F18"/>
    <mergeCell ref="F19:F21"/>
    <mergeCell ref="H27:I27"/>
    <mergeCell ref="B27:C27"/>
    <mergeCell ref="I28:I30"/>
    <mergeCell ref="I31:I33"/>
    <mergeCell ref="C28:C30"/>
    <mergeCell ref="C31:C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MSEMakeMonthly.MSEMakeMonthly">
                <anchor moveWithCells="1" sizeWithCells="1">
                  <from>
                    <xdr:col>1</xdr:col>
                    <xdr:colOff>12700</xdr:colOff>
                    <xdr:row>3</xdr:row>
                    <xdr:rowOff>0</xdr:rowOff>
                  </from>
                  <to>
                    <xdr:col>1</xdr:col>
                    <xdr:colOff>1371600</xdr:colOff>
                    <xdr:row>5</xdr:row>
                    <xdr:rowOff>177800</xdr:rowOff>
                  </to>
                </anchor>
              </controlPr>
            </control>
          </mc:Choice>
        </mc:AlternateContent>
        <mc:AlternateContent xmlns:mc="http://schemas.openxmlformats.org/markup-compatibility/2006">
          <mc:Choice Requires="x14">
            <control shapeId="9220" r:id="rId5" name="Button 4">
              <controlPr defaultSize="0" print="0" autoFill="0" autoPict="0" macro="[0]!MSEMakeYearly.MSEMakeYearly">
                <anchor moveWithCells="1" sizeWithCells="1">
                  <from>
                    <xdr:col>1</xdr:col>
                    <xdr:colOff>12700</xdr:colOff>
                    <xdr:row>6</xdr:row>
                    <xdr:rowOff>0</xdr:rowOff>
                  </from>
                  <to>
                    <xdr:col>1</xdr:col>
                    <xdr:colOff>1371600</xdr:colOff>
                    <xdr:row>8</xdr:row>
                    <xdr:rowOff>177800</xdr:rowOff>
                  </to>
                </anchor>
              </controlPr>
            </control>
          </mc:Choice>
        </mc:AlternateContent>
        <mc:AlternateContent xmlns:mc="http://schemas.openxmlformats.org/markup-compatibility/2006">
          <mc:Choice Requires="x14">
            <control shapeId="9222" r:id="rId6" name="Button 6">
              <controlPr defaultSize="0" print="0" autoFill="0" autoPict="0" macro="[0]!ExportMonthlyMSE.ExportMonthlyMSE">
                <anchor moveWithCells="1" sizeWithCells="1">
                  <from>
                    <xdr:col>1</xdr:col>
                    <xdr:colOff>12700</xdr:colOff>
                    <xdr:row>10</xdr:row>
                    <xdr:rowOff>0</xdr:rowOff>
                  </from>
                  <to>
                    <xdr:col>1</xdr:col>
                    <xdr:colOff>1371600</xdr:colOff>
                    <xdr:row>12</xdr:row>
                    <xdr:rowOff>177800</xdr:rowOff>
                  </to>
                </anchor>
              </controlPr>
            </control>
          </mc:Choice>
        </mc:AlternateContent>
        <mc:AlternateContent xmlns:mc="http://schemas.openxmlformats.org/markup-compatibility/2006">
          <mc:Choice Requires="x14">
            <control shapeId="9224" r:id="rId7" name="Button 8">
              <controlPr defaultSize="0" print="0" autoFill="0" autoPict="0" macro="[0]!MSEExportYearly.MSEExportYearly">
                <anchor moveWithCells="1" sizeWithCells="1">
                  <from>
                    <xdr:col>1</xdr:col>
                    <xdr:colOff>12700</xdr:colOff>
                    <xdr:row>13</xdr:row>
                    <xdr:rowOff>0</xdr:rowOff>
                  </from>
                  <to>
                    <xdr:col>1</xdr:col>
                    <xdr:colOff>1371600</xdr:colOff>
                    <xdr:row>15</xdr:row>
                    <xdr:rowOff>177800</xdr:rowOff>
                  </to>
                </anchor>
              </controlPr>
            </control>
          </mc:Choice>
        </mc:AlternateContent>
        <mc:AlternateContent xmlns:mc="http://schemas.openxmlformats.org/markup-compatibility/2006">
          <mc:Choice Requires="x14">
            <control shapeId="9225" r:id="rId8" name="Button 9">
              <controlPr defaultSize="0" print="0" autoFill="0" autoPict="0" macro="[0]!ClearMonthlyMSE.ClearMonthlyMSE">
                <anchor moveWithCells="1" sizeWithCells="1">
                  <from>
                    <xdr:col>1</xdr:col>
                    <xdr:colOff>12700</xdr:colOff>
                    <xdr:row>17</xdr:row>
                    <xdr:rowOff>0</xdr:rowOff>
                  </from>
                  <to>
                    <xdr:col>1</xdr:col>
                    <xdr:colOff>1371600</xdr:colOff>
                    <xdr:row>19</xdr:row>
                    <xdr:rowOff>177800</xdr:rowOff>
                  </to>
                </anchor>
              </controlPr>
            </control>
          </mc:Choice>
        </mc:AlternateContent>
        <mc:AlternateContent xmlns:mc="http://schemas.openxmlformats.org/markup-compatibility/2006">
          <mc:Choice Requires="x14">
            <control shapeId="9226" r:id="rId9" name="Button 10">
              <controlPr defaultSize="0" print="0" autoFill="0" autoPict="0" macro="[0]!MSEClearYearly.MSEClearYearly">
                <anchor moveWithCells="1" sizeWithCells="1">
                  <from>
                    <xdr:col>1</xdr:col>
                    <xdr:colOff>12700</xdr:colOff>
                    <xdr:row>20</xdr:row>
                    <xdr:rowOff>0</xdr:rowOff>
                  </from>
                  <to>
                    <xdr:col>1</xdr:col>
                    <xdr:colOff>1371600</xdr:colOff>
                    <xdr:row>22</xdr:row>
                    <xdr:rowOff>177800</xdr:rowOff>
                  </to>
                </anchor>
              </controlPr>
            </control>
          </mc:Choice>
        </mc:AlternateContent>
        <mc:AlternateContent xmlns:mc="http://schemas.openxmlformats.org/markup-compatibility/2006">
          <mc:Choice Requires="x14">
            <control shapeId="9227" r:id="rId10" name="Button 11">
              <controlPr defaultSize="0" print="0" autoFill="0" autoPict="0" macro="[0]!ClearMSEInputData.ClearMSEInputData">
                <anchor moveWithCells="1" sizeWithCells="1">
                  <from>
                    <xdr:col>1</xdr:col>
                    <xdr:colOff>12700</xdr:colOff>
                    <xdr:row>23</xdr:row>
                    <xdr:rowOff>0</xdr:rowOff>
                  </from>
                  <to>
                    <xdr:col>1</xdr:col>
                    <xdr:colOff>1371600</xdr:colOff>
                    <xdr:row>25</xdr:row>
                    <xdr:rowOff>177800</xdr:rowOff>
                  </to>
                </anchor>
              </controlPr>
            </control>
          </mc:Choice>
        </mc:AlternateContent>
        <mc:AlternateContent xmlns:mc="http://schemas.openxmlformats.org/markup-compatibility/2006">
          <mc:Choice Requires="x14">
            <control shapeId="9228" r:id="rId11" name="Button 12">
              <controlPr defaultSize="0" print="0" autoFill="0" autoPict="0" macro="[0]!CSEMakeMonthly.CSEMakeMonthly">
                <anchor moveWithCells="1" sizeWithCells="1">
                  <from>
                    <xdr:col>7</xdr:col>
                    <xdr:colOff>12700</xdr:colOff>
                    <xdr:row>3</xdr:row>
                    <xdr:rowOff>0</xdr:rowOff>
                  </from>
                  <to>
                    <xdr:col>7</xdr:col>
                    <xdr:colOff>1371600</xdr:colOff>
                    <xdr:row>5</xdr:row>
                    <xdr:rowOff>177800</xdr:rowOff>
                  </to>
                </anchor>
              </controlPr>
            </control>
          </mc:Choice>
        </mc:AlternateContent>
        <mc:AlternateContent xmlns:mc="http://schemas.openxmlformats.org/markup-compatibility/2006">
          <mc:Choice Requires="x14">
            <control shapeId="9229" r:id="rId12" name="Button 13">
              <controlPr defaultSize="0" print="0" autoFill="0" autoPict="0" macro="[0]!CSEMakeYearly">
                <anchor moveWithCells="1" sizeWithCells="1">
                  <from>
                    <xdr:col>7</xdr:col>
                    <xdr:colOff>12700</xdr:colOff>
                    <xdr:row>6</xdr:row>
                    <xdr:rowOff>0</xdr:rowOff>
                  </from>
                  <to>
                    <xdr:col>7</xdr:col>
                    <xdr:colOff>1371600</xdr:colOff>
                    <xdr:row>8</xdr:row>
                    <xdr:rowOff>177800</xdr:rowOff>
                  </to>
                </anchor>
              </controlPr>
            </control>
          </mc:Choice>
        </mc:AlternateContent>
        <mc:AlternateContent xmlns:mc="http://schemas.openxmlformats.org/markup-compatibility/2006">
          <mc:Choice Requires="x14">
            <control shapeId="9230" r:id="rId13" name="Button 14">
              <controlPr defaultSize="0" print="0" autoFill="0" autoPict="0" macro="[0]!ExportMonthlyCSE.ExportMonthlyCSE">
                <anchor moveWithCells="1" sizeWithCells="1">
                  <from>
                    <xdr:col>7</xdr:col>
                    <xdr:colOff>12700</xdr:colOff>
                    <xdr:row>10</xdr:row>
                    <xdr:rowOff>0</xdr:rowOff>
                  </from>
                  <to>
                    <xdr:col>7</xdr:col>
                    <xdr:colOff>1371600</xdr:colOff>
                    <xdr:row>12</xdr:row>
                    <xdr:rowOff>177800</xdr:rowOff>
                  </to>
                </anchor>
              </controlPr>
            </control>
          </mc:Choice>
        </mc:AlternateContent>
        <mc:AlternateContent xmlns:mc="http://schemas.openxmlformats.org/markup-compatibility/2006">
          <mc:Choice Requires="x14">
            <control shapeId="9231" r:id="rId14" name="Button 15">
              <controlPr defaultSize="0" print="0" autoFill="0" autoPict="0" macro="[0]!CSEExportYearly.CSEExportYearly">
                <anchor moveWithCells="1" sizeWithCells="1">
                  <from>
                    <xdr:col>7</xdr:col>
                    <xdr:colOff>12700</xdr:colOff>
                    <xdr:row>13</xdr:row>
                    <xdr:rowOff>0</xdr:rowOff>
                  </from>
                  <to>
                    <xdr:col>7</xdr:col>
                    <xdr:colOff>1371600</xdr:colOff>
                    <xdr:row>15</xdr:row>
                    <xdr:rowOff>177800</xdr:rowOff>
                  </to>
                </anchor>
              </controlPr>
            </control>
          </mc:Choice>
        </mc:AlternateContent>
        <mc:AlternateContent xmlns:mc="http://schemas.openxmlformats.org/markup-compatibility/2006">
          <mc:Choice Requires="x14">
            <control shapeId="9232" r:id="rId15" name="Button 16">
              <controlPr defaultSize="0" print="0" autoFill="0" autoPict="0" macro="[0]!ClearMonthlyCSE.ClearMonthlyCSE">
                <anchor moveWithCells="1" sizeWithCells="1">
                  <from>
                    <xdr:col>7</xdr:col>
                    <xdr:colOff>12700</xdr:colOff>
                    <xdr:row>17</xdr:row>
                    <xdr:rowOff>0</xdr:rowOff>
                  </from>
                  <to>
                    <xdr:col>7</xdr:col>
                    <xdr:colOff>1371600</xdr:colOff>
                    <xdr:row>19</xdr:row>
                    <xdr:rowOff>177800</xdr:rowOff>
                  </to>
                </anchor>
              </controlPr>
            </control>
          </mc:Choice>
        </mc:AlternateContent>
        <mc:AlternateContent xmlns:mc="http://schemas.openxmlformats.org/markup-compatibility/2006">
          <mc:Choice Requires="x14">
            <control shapeId="9233" r:id="rId16" name="Button 17">
              <controlPr defaultSize="0" print="0" autoFill="0" autoPict="0" macro="[0]!CSEClearYearly.CSEClearYearly">
                <anchor moveWithCells="1" sizeWithCells="1">
                  <from>
                    <xdr:col>7</xdr:col>
                    <xdr:colOff>12700</xdr:colOff>
                    <xdr:row>20</xdr:row>
                    <xdr:rowOff>0</xdr:rowOff>
                  </from>
                  <to>
                    <xdr:col>7</xdr:col>
                    <xdr:colOff>1371600</xdr:colOff>
                    <xdr:row>22</xdr:row>
                    <xdr:rowOff>177800</xdr:rowOff>
                  </to>
                </anchor>
              </controlPr>
            </control>
          </mc:Choice>
        </mc:AlternateContent>
        <mc:AlternateContent xmlns:mc="http://schemas.openxmlformats.org/markup-compatibility/2006">
          <mc:Choice Requires="x14">
            <control shapeId="9234" r:id="rId17" name="Button 18">
              <controlPr defaultSize="0" print="0" autoFill="0" autoPict="0" macro="[0]!ClearCSEInputData.ClearCSEInputData">
                <anchor moveWithCells="1" sizeWithCells="1">
                  <from>
                    <xdr:col>7</xdr:col>
                    <xdr:colOff>12700</xdr:colOff>
                    <xdr:row>23</xdr:row>
                    <xdr:rowOff>0</xdr:rowOff>
                  </from>
                  <to>
                    <xdr:col>7</xdr:col>
                    <xdr:colOff>1371600</xdr:colOff>
                    <xdr:row>25</xdr:row>
                    <xdr:rowOff>177800</xdr:rowOff>
                  </to>
                </anchor>
              </controlPr>
            </control>
          </mc:Choice>
        </mc:AlternateContent>
        <mc:AlternateContent xmlns:mc="http://schemas.openxmlformats.org/markup-compatibility/2006">
          <mc:Choice Requires="x14">
            <control shapeId="9235" r:id="rId18" name="Button 19">
              <controlPr defaultSize="0" print="0" autoFill="0" autoPict="0" macro="[0]!MakeWeeklyV2.MakeWeeklyV2">
                <anchor moveWithCells="1" sizeWithCells="1">
                  <from>
                    <xdr:col>4</xdr:col>
                    <xdr:colOff>12700</xdr:colOff>
                    <xdr:row>3</xdr:row>
                    <xdr:rowOff>0</xdr:rowOff>
                  </from>
                  <to>
                    <xdr:col>4</xdr:col>
                    <xdr:colOff>1371600</xdr:colOff>
                    <xdr:row>5</xdr:row>
                    <xdr:rowOff>177800</xdr:rowOff>
                  </to>
                </anchor>
              </controlPr>
            </control>
          </mc:Choice>
        </mc:AlternateContent>
        <mc:AlternateContent xmlns:mc="http://schemas.openxmlformats.org/markup-compatibility/2006">
          <mc:Choice Requires="x14">
            <control shapeId="9236" r:id="rId19" name="Button 20">
              <controlPr defaultSize="0" print="0" autoFill="0" autoPict="0" macro="[0]!ExportWeeklyV2.ExportWeeklyV2">
                <anchor moveWithCells="1" sizeWithCells="1">
                  <from>
                    <xdr:col>4</xdr:col>
                    <xdr:colOff>12700</xdr:colOff>
                    <xdr:row>7</xdr:row>
                    <xdr:rowOff>0</xdr:rowOff>
                  </from>
                  <to>
                    <xdr:col>4</xdr:col>
                    <xdr:colOff>1371600</xdr:colOff>
                    <xdr:row>10</xdr:row>
                    <xdr:rowOff>0</xdr:rowOff>
                  </to>
                </anchor>
              </controlPr>
            </control>
          </mc:Choice>
        </mc:AlternateContent>
        <mc:AlternateContent xmlns:mc="http://schemas.openxmlformats.org/markup-compatibility/2006">
          <mc:Choice Requires="x14">
            <control shapeId="9237" r:id="rId20" name="Button 21">
              <controlPr defaultSize="0" print="0" autoFill="0" autoPict="0" macro="[0]!ClearWeekly.ClearWeekly">
                <anchor moveWithCells="1" sizeWithCells="1">
                  <from>
                    <xdr:col>4</xdr:col>
                    <xdr:colOff>12700</xdr:colOff>
                    <xdr:row>11</xdr:row>
                    <xdr:rowOff>0</xdr:rowOff>
                  </from>
                  <to>
                    <xdr:col>4</xdr:col>
                    <xdr:colOff>1371600</xdr:colOff>
                    <xdr:row>13</xdr:row>
                    <xdr:rowOff>177800</xdr:rowOff>
                  </to>
                </anchor>
              </controlPr>
            </control>
          </mc:Choice>
        </mc:AlternateContent>
        <mc:AlternateContent xmlns:mc="http://schemas.openxmlformats.org/markup-compatibility/2006">
          <mc:Choice Requires="x14">
            <control shapeId="9238" r:id="rId21" name="Button 22">
              <controlPr defaultSize="0" print="0" autoFill="0" autoPict="0">
                <anchor moveWithCells="1" sizeWithCells="1">
                  <from>
                    <xdr:col>4</xdr:col>
                    <xdr:colOff>12700</xdr:colOff>
                    <xdr:row>14</xdr:row>
                    <xdr:rowOff>0</xdr:rowOff>
                  </from>
                  <to>
                    <xdr:col>4</xdr:col>
                    <xdr:colOff>1371600</xdr:colOff>
                    <xdr:row>17</xdr:row>
                    <xdr:rowOff>12700</xdr:rowOff>
                  </to>
                </anchor>
              </controlPr>
            </control>
          </mc:Choice>
        </mc:AlternateContent>
        <mc:AlternateContent xmlns:mc="http://schemas.openxmlformats.org/markup-compatibility/2006">
          <mc:Choice Requires="x14">
            <control shapeId="9239" r:id="rId22" name="Button 23">
              <controlPr defaultSize="0" print="0" autoFill="0" autoPict="0" macro="[0]!LogCSEPM.LogCSEPM">
                <anchor moveWithCells="1" sizeWithCells="1">
                  <from>
                    <xdr:col>7</xdr:col>
                    <xdr:colOff>12700</xdr:colOff>
                    <xdr:row>27</xdr:row>
                    <xdr:rowOff>0</xdr:rowOff>
                  </from>
                  <to>
                    <xdr:col>7</xdr:col>
                    <xdr:colOff>1371600</xdr:colOff>
                    <xdr:row>29</xdr:row>
                    <xdr:rowOff>177800</xdr:rowOff>
                  </to>
                </anchor>
              </controlPr>
            </control>
          </mc:Choice>
        </mc:AlternateContent>
        <mc:AlternateContent xmlns:mc="http://schemas.openxmlformats.org/markup-compatibility/2006">
          <mc:Choice Requires="x14">
            <control shapeId="9240" r:id="rId23" name="Button 24">
              <controlPr defaultSize="0" print="0" autoFill="0" autoPict="0" macro="[0]!LogCSECM.LogCSECM">
                <anchor moveWithCells="1" sizeWithCells="1">
                  <from>
                    <xdr:col>7</xdr:col>
                    <xdr:colOff>12700</xdr:colOff>
                    <xdr:row>30</xdr:row>
                    <xdr:rowOff>0</xdr:rowOff>
                  </from>
                  <to>
                    <xdr:col>7</xdr:col>
                    <xdr:colOff>1371600</xdr:colOff>
                    <xdr:row>32</xdr:row>
                    <xdr:rowOff>177800</xdr:rowOff>
                  </to>
                </anchor>
              </controlPr>
            </control>
          </mc:Choice>
        </mc:AlternateContent>
        <mc:AlternateContent xmlns:mc="http://schemas.openxmlformats.org/markup-compatibility/2006">
          <mc:Choice Requires="x14">
            <control shapeId="9241" r:id="rId24" name="Button 25">
              <controlPr defaultSize="0" print="0" autoFill="0" autoPict="0" macro="[0]!LogMSEPM.LogMSEPM">
                <anchor moveWithCells="1" sizeWithCells="1">
                  <from>
                    <xdr:col>1</xdr:col>
                    <xdr:colOff>12700</xdr:colOff>
                    <xdr:row>27</xdr:row>
                    <xdr:rowOff>0</xdr:rowOff>
                  </from>
                  <to>
                    <xdr:col>1</xdr:col>
                    <xdr:colOff>1371600</xdr:colOff>
                    <xdr:row>29</xdr:row>
                    <xdr:rowOff>177800</xdr:rowOff>
                  </to>
                </anchor>
              </controlPr>
            </control>
          </mc:Choice>
        </mc:AlternateContent>
        <mc:AlternateContent xmlns:mc="http://schemas.openxmlformats.org/markup-compatibility/2006">
          <mc:Choice Requires="x14">
            <control shapeId="9242" r:id="rId25" name="Button 26">
              <controlPr defaultSize="0" print="0" autoFill="0" autoPict="0" macro="[0]!LogMSECM.LogMSECM">
                <anchor moveWithCells="1" sizeWithCells="1">
                  <from>
                    <xdr:col>1</xdr:col>
                    <xdr:colOff>12700</xdr:colOff>
                    <xdr:row>30</xdr:row>
                    <xdr:rowOff>0</xdr:rowOff>
                  </from>
                  <to>
                    <xdr:col>1</xdr:col>
                    <xdr:colOff>1371600</xdr:colOff>
                    <xdr:row>32</xdr:row>
                    <xdr:rowOff>177800</xdr:rowOff>
                  </to>
                </anchor>
              </controlPr>
            </control>
          </mc:Choice>
        </mc:AlternateContent>
        <mc:AlternateContent xmlns:mc="http://schemas.openxmlformats.org/markup-compatibility/2006">
          <mc:Choice Requires="x14">
            <control shapeId="9243" r:id="rId26" name="Button 27">
              <controlPr defaultSize="0" print="0" autoFill="0" autoPict="0" macro="[0]!ClearCalendar.ClearCalendar">
                <anchor moveWithCells="1" sizeWithCells="1">
                  <from>
                    <xdr:col>4</xdr:col>
                    <xdr:colOff>12700</xdr:colOff>
                    <xdr:row>18</xdr:row>
                    <xdr:rowOff>0</xdr:rowOff>
                  </from>
                  <to>
                    <xdr:col>4</xdr:col>
                    <xdr:colOff>1371600</xdr:colOff>
                    <xdr:row>20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EEEE-9E3A-4854-895B-F29D0B3728BB}">
  <sheetPr codeName="Sheet32">
    <tabColor theme="4"/>
  </sheetPr>
  <dimension ref="A1:O64"/>
  <sheetViews>
    <sheetView topLeftCell="A34" workbookViewId="0">
      <selection activeCell="S34" sqref="S34"/>
    </sheetView>
  </sheetViews>
  <sheetFormatPr baseColWidth="10" defaultColWidth="8.83203125" defaultRowHeight="15" x14ac:dyDescent="0.2"/>
  <sheetData>
    <row r="1" spans="1:15" ht="15" customHeight="1" x14ac:dyDescent="0.35">
      <c r="A1" s="508" t="s">
        <v>365</v>
      </c>
      <c r="B1" s="508"/>
      <c r="C1" s="508"/>
      <c r="D1" s="508"/>
      <c r="E1" s="508"/>
      <c r="F1" s="508"/>
      <c r="G1" s="508"/>
      <c r="H1" s="178"/>
      <c r="I1" s="178"/>
      <c r="J1" s="178"/>
      <c r="K1" s="178"/>
      <c r="L1" s="178"/>
      <c r="M1" s="178"/>
      <c r="N1" s="178"/>
      <c r="O1" s="178"/>
    </row>
    <row r="2" spans="1:15" ht="15" customHeight="1" x14ac:dyDescent="0.35">
      <c r="A2" s="508"/>
      <c r="B2" s="508"/>
      <c r="C2" s="508"/>
      <c r="D2" s="508"/>
      <c r="E2" s="508"/>
      <c r="F2" s="508"/>
      <c r="G2" s="508"/>
      <c r="H2" s="178"/>
      <c r="I2" s="178"/>
      <c r="J2" s="178"/>
      <c r="K2" s="178"/>
      <c r="L2" s="178"/>
      <c r="M2" s="178"/>
      <c r="N2" s="178"/>
      <c r="O2" s="178"/>
    </row>
    <row r="32" spans="1:15" ht="15" customHeight="1" x14ac:dyDescent="0.2">
      <c r="A32" s="509" t="s">
        <v>364</v>
      </c>
      <c r="B32" s="509"/>
      <c r="C32" s="509"/>
      <c r="D32" s="509"/>
      <c r="E32" s="509"/>
      <c r="F32" s="509"/>
      <c r="G32" s="509"/>
      <c r="H32" s="510"/>
      <c r="I32" s="510"/>
      <c r="J32" s="510"/>
      <c r="K32" s="510"/>
      <c r="L32" s="510"/>
      <c r="M32" s="510"/>
      <c r="N32" s="510"/>
      <c r="O32" s="510"/>
    </row>
    <row r="33" spans="1:15" ht="15" customHeight="1" x14ac:dyDescent="0.2">
      <c r="A33" s="509"/>
      <c r="B33" s="509"/>
      <c r="C33" s="509"/>
      <c r="D33" s="509"/>
      <c r="E33" s="509"/>
      <c r="F33" s="509"/>
      <c r="G33" s="509"/>
      <c r="H33" s="510"/>
      <c r="I33" s="510"/>
      <c r="J33" s="510"/>
      <c r="K33" s="510"/>
      <c r="L33" s="510"/>
      <c r="M33" s="510"/>
      <c r="N33" s="510"/>
      <c r="O33" s="510"/>
    </row>
    <row r="34" spans="1:15" ht="19" x14ac:dyDescent="0.25">
      <c r="A34" s="511" t="s">
        <v>363</v>
      </c>
      <c r="B34" s="511"/>
      <c r="C34" s="511"/>
      <c r="D34" s="511"/>
      <c r="E34" s="511"/>
      <c r="F34" s="511"/>
      <c r="G34" s="177"/>
      <c r="H34" s="177"/>
      <c r="I34" s="177"/>
      <c r="J34" s="177"/>
      <c r="K34" s="177"/>
      <c r="L34" s="177"/>
      <c r="M34" s="177"/>
      <c r="N34" s="177"/>
      <c r="O34" s="177"/>
    </row>
    <row r="64" spans="1:15" ht="19" x14ac:dyDescent="0.25">
      <c r="A64" s="511" t="s">
        <v>362</v>
      </c>
      <c r="B64" s="511"/>
      <c r="C64" s="511"/>
      <c r="D64" s="511"/>
      <c r="E64" s="511"/>
      <c r="F64" s="511"/>
      <c r="G64" s="176"/>
      <c r="H64" s="176"/>
      <c r="I64" s="176"/>
      <c r="J64" s="176"/>
      <c r="K64" s="176"/>
      <c r="L64" s="176"/>
      <c r="M64" s="176"/>
      <c r="N64" s="176"/>
      <c r="O64" s="176"/>
    </row>
  </sheetData>
  <mergeCells count="5">
    <mergeCell ref="A1:G2"/>
    <mergeCell ref="A32:G33"/>
    <mergeCell ref="H32:O33"/>
    <mergeCell ref="A64:F64"/>
    <mergeCell ref="A34:F3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7A389-0E8F-4A72-AD4B-CE567183BE38}">
  <sheetPr codeName="Sheet19">
    <tabColor theme="4"/>
  </sheetPr>
  <dimension ref="A1:N34"/>
  <sheetViews>
    <sheetView workbookViewId="0">
      <selection activeCell="S20" sqref="S20"/>
    </sheetView>
  </sheetViews>
  <sheetFormatPr baseColWidth="10" defaultColWidth="8.83203125" defaultRowHeight="15" x14ac:dyDescent="0.2"/>
  <cols>
    <col min="1" max="1" width="5.5" bestFit="1" customWidth="1"/>
    <col min="2" max="2" width="12.5" bestFit="1" customWidth="1"/>
    <col min="3" max="3" width="9.83203125" bestFit="1" customWidth="1"/>
    <col min="4" max="4" width="14" bestFit="1" customWidth="1"/>
    <col min="5" max="5" width="10.33203125" bestFit="1" customWidth="1"/>
    <col min="6" max="6" width="17.5" bestFit="1" customWidth="1"/>
    <col min="7" max="7" width="11.83203125" bestFit="1" customWidth="1"/>
    <col min="8" max="8" width="5.5" bestFit="1" customWidth="1"/>
    <col min="9" max="9" width="12.5" bestFit="1" customWidth="1"/>
    <col min="10" max="10" width="9.83203125" bestFit="1" customWidth="1"/>
    <col min="11" max="11" width="14" bestFit="1" customWidth="1"/>
    <col min="12" max="12" width="10.33203125" bestFit="1" customWidth="1"/>
    <col min="13" max="13" width="17.5" bestFit="1" customWidth="1"/>
    <col min="14" max="14" width="11.83203125" bestFit="1" customWidth="1"/>
  </cols>
  <sheetData>
    <row r="1" spans="1:14" ht="16" thickBot="1" x14ac:dyDescent="0.25">
      <c r="A1" s="512" t="s">
        <v>325</v>
      </c>
      <c r="B1" s="513"/>
      <c r="C1" s="513"/>
      <c r="D1" s="513"/>
      <c r="E1" s="513"/>
      <c r="F1" s="513"/>
      <c r="G1" s="513"/>
      <c r="H1" s="145">
        <v>40</v>
      </c>
      <c r="I1" s="144" t="s">
        <v>312</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ht="29" customHeight="1" x14ac:dyDescent="0.2">
      <c r="A4" s="516"/>
      <c r="B4" s="526" t="s">
        <v>429</v>
      </c>
      <c r="C4" s="527"/>
      <c r="D4" s="527" t="s">
        <v>428</v>
      </c>
      <c r="E4" s="527"/>
      <c r="F4" s="527" t="s">
        <v>431</v>
      </c>
      <c r="G4" s="528"/>
      <c r="H4" s="514"/>
      <c r="I4" s="529" t="s">
        <v>432</v>
      </c>
      <c r="J4" s="530"/>
      <c r="K4" s="530" t="s">
        <v>433</v>
      </c>
      <c r="L4" s="530"/>
      <c r="M4" s="530" t="s">
        <v>434</v>
      </c>
      <c r="N4" s="531"/>
    </row>
    <row r="5" spans="1:14" x14ac:dyDescent="0.2">
      <c r="A5" s="516"/>
      <c r="B5" s="9" t="s">
        <v>425</v>
      </c>
      <c r="C5" s="165">
        <v>25</v>
      </c>
      <c r="D5" s="12" t="s">
        <v>263</v>
      </c>
      <c r="E5" s="165">
        <v>148</v>
      </c>
      <c r="F5" s="12" t="s">
        <v>5</v>
      </c>
      <c r="G5" s="164">
        <v>27</v>
      </c>
      <c r="H5" s="514"/>
      <c r="I5" s="21" t="s">
        <v>425</v>
      </c>
      <c r="J5" s="165">
        <v>92000</v>
      </c>
      <c r="K5" s="24" t="s">
        <v>263</v>
      </c>
      <c r="L5" s="165">
        <v>167</v>
      </c>
      <c r="M5" s="24" t="s">
        <v>5</v>
      </c>
      <c r="N5" s="164">
        <v>164</v>
      </c>
    </row>
    <row r="6" spans="1:14" x14ac:dyDescent="0.2">
      <c r="A6" s="516"/>
      <c r="B6" s="10" t="s">
        <v>6</v>
      </c>
      <c r="C6" s="30">
        <v>25</v>
      </c>
      <c r="D6" s="13" t="s">
        <v>5</v>
      </c>
      <c r="E6" s="30">
        <v>148</v>
      </c>
      <c r="F6" s="13" t="s">
        <v>6</v>
      </c>
      <c r="G6" s="31">
        <v>27</v>
      </c>
      <c r="H6" s="514"/>
      <c r="I6" s="22" t="s">
        <v>6</v>
      </c>
      <c r="J6" s="30">
        <v>41500</v>
      </c>
      <c r="K6" s="25" t="s">
        <v>5</v>
      </c>
      <c r="L6" s="30">
        <v>167</v>
      </c>
      <c r="M6" s="25" t="s">
        <v>6</v>
      </c>
      <c r="N6" s="31">
        <v>56</v>
      </c>
    </row>
    <row r="7" spans="1:14" ht="16" thickBot="1" x14ac:dyDescent="0.25">
      <c r="A7" s="516"/>
      <c r="B7" s="11" t="s">
        <v>424</v>
      </c>
      <c r="C7" s="4" t="s">
        <v>197</v>
      </c>
      <c r="D7" s="14" t="s">
        <v>7</v>
      </c>
      <c r="E7" s="4">
        <v>0</v>
      </c>
      <c r="F7" s="14" t="s">
        <v>7</v>
      </c>
      <c r="G7" s="5">
        <v>0</v>
      </c>
      <c r="H7" s="514"/>
      <c r="I7" s="23" t="s">
        <v>424</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426</v>
      </c>
      <c r="C9" s="519"/>
      <c r="D9" s="519" t="s">
        <v>427</v>
      </c>
      <c r="E9" s="519"/>
      <c r="F9" s="9" t="s">
        <v>17</v>
      </c>
      <c r="G9" s="2">
        <v>40</v>
      </c>
      <c r="H9" s="514"/>
      <c r="I9" s="532" t="s">
        <v>426</v>
      </c>
      <c r="J9" s="533"/>
      <c r="K9" s="533" t="s">
        <v>427</v>
      </c>
      <c r="L9" s="533"/>
      <c r="M9" s="21" t="s">
        <v>17</v>
      </c>
      <c r="N9" s="2">
        <v>40</v>
      </c>
    </row>
    <row r="10" spans="1:14" x14ac:dyDescent="0.2">
      <c r="A10" s="516"/>
      <c r="B10" s="10" t="s">
        <v>425</v>
      </c>
      <c r="C10">
        <v>6</v>
      </c>
      <c r="D10" s="13" t="s">
        <v>425</v>
      </c>
      <c r="E10">
        <v>6</v>
      </c>
      <c r="F10" s="10" t="s">
        <v>18</v>
      </c>
      <c r="G10" s="31">
        <v>4</v>
      </c>
      <c r="H10" s="514"/>
      <c r="I10" s="22" t="s">
        <v>425</v>
      </c>
      <c r="J10">
        <v>33</v>
      </c>
      <c r="K10" s="25" t="s">
        <v>425</v>
      </c>
      <c r="L10">
        <v>6</v>
      </c>
      <c r="M10" s="22" t="s">
        <v>18</v>
      </c>
      <c r="N10" s="31">
        <v>4</v>
      </c>
    </row>
    <row r="11" spans="1:14" x14ac:dyDescent="0.2">
      <c r="A11" s="516"/>
      <c r="B11" s="10" t="s">
        <v>6</v>
      </c>
      <c r="C11" s="30">
        <v>0</v>
      </c>
      <c r="D11" s="13" t="s">
        <v>6</v>
      </c>
      <c r="E11" s="30">
        <v>0</v>
      </c>
      <c r="F11" s="10" t="s">
        <v>354</v>
      </c>
      <c r="G11" s="164">
        <v>11</v>
      </c>
      <c r="H11" s="514"/>
      <c r="I11" s="22" t="s">
        <v>6</v>
      </c>
      <c r="J11" s="30">
        <v>12</v>
      </c>
      <c r="K11" s="25" t="s">
        <v>6</v>
      </c>
      <c r="L11" s="30">
        <v>1</v>
      </c>
      <c r="M11" s="22" t="s">
        <v>19</v>
      </c>
      <c r="N11" s="164">
        <v>10</v>
      </c>
    </row>
    <row r="12" spans="1:14" ht="16" thickBot="1" x14ac:dyDescent="0.25">
      <c r="A12" s="516"/>
      <c r="B12" s="11" t="s">
        <v>7</v>
      </c>
      <c r="C12" s="4">
        <v>0</v>
      </c>
      <c r="D12" s="14" t="s">
        <v>7</v>
      </c>
      <c r="E12" s="4">
        <v>0</v>
      </c>
      <c r="F12" s="11" t="s">
        <v>353</v>
      </c>
      <c r="G12" s="33">
        <v>6</v>
      </c>
      <c r="H12" s="514"/>
      <c r="I12" s="23" t="s">
        <v>7</v>
      </c>
      <c r="J12" s="4">
        <v>0</v>
      </c>
      <c r="K12" s="26" t="s">
        <v>7</v>
      </c>
      <c r="L12" s="4">
        <v>0</v>
      </c>
      <c r="M12" s="23" t="s">
        <v>20</v>
      </c>
      <c r="N12" s="33">
        <v>2</v>
      </c>
    </row>
    <row r="13" spans="1:14" ht="16" thickBot="1" x14ac:dyDescent="0.25">
      <c r="A13" s="516"/>
      <c r="B13" s="520" t="s">
        <v>0</v>
      </c>
      <c r="C13" s="521"/>
      <c r="D13" s="139" t="s">
        <v>267</v>
      </c>
      <c r="E13" s="135">
        <v>13</v>
      </c>
      <c r="F13" s="139" t="s">
        <v>268</v>
      </c>
      <c r="G13" s="134">
        <v>9</v>
      </c>
      <c r="H13" s="514"/>
      <c r="I13" s="523" t="s">
        <v>0</v>
      </c>
      <c r="J13" s="524"/>
      <c r="K13" s="133" t="s">
        <v>267</v>
      </c>
      <c r="L13" s="135">
        <v>11</v>
      </c>
      <c r="M13" s="133" t="s">
        <v>268</v>
      </c>
      <c r="N13" s="134">
        <v>8</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12</v>
      </c>
      <c r="C16" s="30">
        <v>4</v>
      </c>
      <c r="D16">
        <v>0</v>
      </c>
      <c r="E16" s="30">
        <v>2</v>
      </c>
      <c r="F16">
        <v>4</v>
      </c>
      <c r="G16" s="31">
        <v>5</v>
      </c>
      <c r="H16" s="514"/>
      <c r="I16" s="1">
        <v>17</v>
      </c>
      <c r="J16" s="30">
        <v>4</v>
      </c>
      <c r="K16">
        <v>0</v>
      </c>
      <c r="L16" s="30">
        <v>0</v>
      </c>
      <c r="M16">
        <v>4</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148</v>
      </c>
      <c r="C19" s="30">
        <v>50</v>
      </c>
      <c r="D19">
        <v>0</v>
      </c>
      <c r="E19" s="30">
        <v>16</v>
      </c>
      <c r="F19">
        <v>60</v>
      </c>
      <c r="G19" s="31">
        <v>68</v>
      </c>
      <c r="H19" s="514"/>
      <c r="I19" s="1">
        <v>167</v>
      </c>
      <c r="J19" s="30">
        <v>40</v>
      </c>
      <c r="K19">
        <v>0</v>
      </c>
      <c r="L19" s="30">
        <v>0</v>
      </c>
      <c r="M19">
        <v>36</v>
      </c>
      <c r="N19" s="31">
        <v>30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c r="E22" s="32"/>
      <c r="F22" s="4"/>
      <c r="G22" s="33">
        <v>10</v>
      </c>
      <c r="H22" s="515"/>
      <c r="I22" s="3"/>
      <c r="J22" s="32"/>
      <c r="K22" s="4"/>
      <c r="L22" s="32"/>
      <c r="M22" s="4"/>
      <c r="N22" s="33"/>
    </row>
    <row r="23" spans="1:14" x14ac:dyDescent="0.2">
      <c r="A23" s="426" t="s">
        <v>430</v>
      </c>
      <c r="B23" s="424"/>
      <c r="C23" s="424"/>
      <c r="D23" s="424"/>
      <c r="E23" s="424"/>
      <c r="F23" s="424"/>
      <c r="G23" s="425"/>
      <c r="H23" s="411" t="s">
        <v>430</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1</v>
      </c>
      <c r="C26" s="35">
        <v>3</v>
      </c>
      <c r="D26" s="30">
        <v>0</v>
      </c>
      <c r="E26" s="35">
        <v>0</v>
      </c>
      <c r="F26" s="30">
        <v>0</v>
      </c>
      <c r="G26" s="31">
        <v>0</v>
      </c>
      <c r="H26" s="22" t="s">
        <v>32</v>
      </c>
      <c r="I26" s="30">
        <v>0</v>
      </c>
      <c r="J26" s="35">
        <v>0</v>
      </c>
      <c r="K26" s="30">
        <v>0</v>
      </c>
      <c r="L26" s="35">
        <v>0</v>
      </c>
      <c r="M26" s="30">
        <v>0</v>
      </c>
      <c r="N26" s="31">
        <v>0</v>
      </c>
    </row>
    <row r="27" spans="1:14" x14ac:dyDescent="0.2">
      <c r="A27" s="10" t="s">
        <v>33</v>
      </c>
      <c r="B27">
        <v>5</v>
      </c>
      <c r="C27" s="36">
        <v>24</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33</v>
      </c>
      <c r="J31" s="36">
        <v>164</v>
      </c>
      <c r="K31">
        <v>12</v>
      </c>
      <c r="L31" s="36">
        <v>56</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I20:N20"/>
    <mergeCell ref="H23:N23"/>
    <mergeCell ref="B3:G3"/>
    <mergeCell ref="B4:C4"/>
    <mergeCell ref="D4:E4"/>
    <mergeCell ref="F4:G4"/>
    <mergeCell ref="B8:E8"/>
    <mergeCell ref="I3:N3"/>
    <mergeCell ref="I4:J4"/>
    <mergeCell ref="K4:L4"/>
    <mergeCell ref="M4:N4"/>
    <mergeCell ref="I8:L8"/>
    <mergeCell ref="M8:N8"/>
    <mergeCell ref="I9:J9"/>
    <mergeCell ref="K9:L9"/>
    <mergeCell ref="A1:G1"/>
    <mergeCell ref="B20:G20"/>
    <mergeCell ref="A23:G23"/>
    <mergeCell ref="H3:H22"/>
    <mergeCell ref="H2:N2"/>
    <mergeCell ref="A2:G2"/>
    <mergeCell ref="A3:A22"/>
    <mergeCell ref="F8:G8"/>
    <mergeCell ref="B9:C9"/>
    <mergeCell ref="D9:E9"/>
    <mergeCell ref="B13:C13"/>
    <mergeCell ref="B14:G14"/>
    <mergeCell ref="B17:G17"/>
    <mergeCell ref="I13:J13"/>
    <mergeCell ref="I14:N14"/>
    <mergeCell ref="I17:N17"/>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BB0BE-7D5A-41F6-957D-C83802541B87}">
  <sheetPr codeName="Sheet55"/>
  <dimension ref="A1:N34"/>
  <sheetViews>
    <sheetView workbookViewId="0"/>
  </sheetViews>
  <sheetFormatPr baseColWidth="10" defaultColWidth="8.83203125" defaultRowHeight="15" x14ac:dyDescent="0.2"/>
  <sheetData>
    <row r="1" spans="1:14" ht="16" thickBot="1" x14ac:dyDescent="0.25">
      <c r="A1" s="512" t="s">
        <v>325</v>
      </c>
      <c r="B1" s="513"/>
      <c r="C1" s="513"/>
      <c r="D1" s="513"/>
      <c r="E1" s="513"/>
      <c r="F1" s="513"/>
      <c r="G1" s="513"/>
      <c r="H1" s="145">
        <v>40</v>
      </c>
      <c r="I1" s="144" t="s">
        <v>312</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25</v>
      </c>
      <c r="D5" s="12" t="s">
        <v>263</v>
      </c>
      <c r="E5" s="165">
        <v>148</v>
      </c>
      <c r="F5" s="12" t="s">
        <v>5</v>
      </c>
      <c r="G5" s="164">
        <v>27</v>
      </c>
      <c r="H5" s="514"/>
      <c r="I5" s="21" t="s">
        <v>5</v>
      </c>
      <c r="J5" s="165">
        <v>92000</v>
      </c>
      <c r="K5" s="24" t="s">
        <v>263</v>
      </c>
      <c r="L5" s="165">
        <v>167</v>
      </c>
      <c r="M5" s="24" t="s">
        <v>5</v>
      </c>
      <c r="N5" s="164">
        <v>164</v>
      </c>
    </row>
    <row r="6" spans="1:14" x14ac:dyDescent="0.2">
      <c r="A6" s="516"/>
      <c r="B6" s="10" t="s">
        <v>6</v>
      </c>
      <c r="C6" s="30">
        <v>25</v>
      </c>
      <c r="D6" s="13" t="s">
        <v>5</v>
      </c>
      <c r="E6" s="30">
        <v>148</v>
      </c>
      <c r="F6" s="13" t="s">
        <v>6</v>
      </c>
      <c r="G6" s="31">
        <v>27</v>
      </c>
      <c r="H6" s="514"/>
      <c r="I6" s="22" t="s">
        <v>6</v>
      </c>
      <c r="J6" s="30">
        <v>41500</v>
      </c>
      <c r="K6" s="25" t="s">
        <v>329</v>
      </c>
      <c r="L6" s="30">
        <v>167</v>
      </c>
      <c r="M6" s="25" t="s">
        <v>6</v>
      </c>
      <c r="N6" s="31">
        <v>56</v>
      </c>
    </row>
    <row r="7" spans="1:14" ht="16" thickBot="1" x14ac:dyDescent="0.25">
      <c r="A7" s="516"/>
      <c r="B7" s="11" t="s">
        <v>7</v>
      </c>
      <c r="C7" s="4" t="s">
        <v>197</v>
      </c>
      <c r="D7" s="14" t="s">
        <v>7</v>
      </c>
      <c r="E7" s="4">
        <v>0</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40</v>
      </c>
      <c r="H9" s="514"/>
      <c r="I9" s="532" t="s">
        <v>8</v>
      </c>
      <c r="J9" s="533"/>
      <c r="K9" s="533" t="s">
        <v>10</v>
      </c>
      <c r="L9" s="533"/>
      <c r="M9" s="21" t="s">
        <v>17</v>
      </c>
      <c r="N9" s="2">
        <v>40</v>
      </c>
    </row>
    <row r="10" spans="1:14" x14ac:dyDescent="0.2">
      <c r="A10" s="516"/>
      <c r="B10" s="10" t="s">
        <v>5</v>
      </c>
      <c r="C10">
        <v>6</v>
      </c>
      <c r="D10" s="13" t="s">
        <v>5</v>
      </c>
      <c r="E10">
        <v>6</v>
      </c>
      <c r="F10" s="10" t="s">
        <v>18</v>
      </c>
      <c r="G10" s="31">
        <v>4</v>
      </c>
      <c r="H10" s="514"/>
      <c r="I10" s="22" t="s">
        <v>5</v>
      </c>
      <c r="J10">
        <v>33</v>
      </c>
      <c r="K10" s="25" t="s">
        <v>5</v>
      </c>
      <c r="L10">
        <v>6</v>
      </c>
      <c r="M10" s="22" t="s">
        <v>18</v>
      </c>
      <c r="N10" s="31">
        <v>4</v>
      </c>
    </row>
    <row r="11" spans="1:14" x14ac:dyDescent="0.2">
      <c r="A11" s="516"/>
      <c r="B11" s="10" t="s">
        <v>6</v>
      </c>
      <c r="C11" s="30">
        <v>0</v>
      </c>
      <c r="D11" s="13" t="s">
        <v>6</v>
      </c>
      <c r="E11" s="30">
        <v>0</v>
      </c>
      <c r="F11" s="10" t="s">
        <v>354</v>
      </c>
      <c r="G11" s="164">
        <v>11</v>
      </c>
      <c r="H11" s="514"/>
      <c r="I11" s="22" t="s">
        <v>6</v>
      </c>
      <c r="J11" s="30">
        <v>12</v>
      </c>
      <c r="K11" s="25" t="s">
        <v>6</v>
      </c>
      <c r="L11" s="30">
        <v>1</v>
      </c>
      <c r="M11" s="22" t="s">
        <v>19</v>
      </c>
      <c r="N11" s="164">
        <v>10</v>
      </c>
    </row>
    <row r="12" spans="1:14" ht="16" thickBot="1" x14ac:dyDescent="0.25">
      <c r="A12" s="516"/>
      <c r="B12" s="11" t="s">
        <v>7</v>
      </c>
      <c r="C12" s="4">
        <v>0</v>
      </c>
      <c r="D12" s="14" t="s">
        <v>7</v>
      </c>
      <c r="E12" s="4">
        <v>0</v>
      </c>
      <c r="F12" s="11" t="s">
        <v>353</v>
      </c>
      <c r="G12" s="33">
        <v>6</v>
      </c>
      <c r="H12" s="514"/>
      <c r="I12" s="23" t="s">
        <v>7</v>
      </c>
      <c r="J12" s="4">
        <v>0</v>
      </c>
      <c r="K12" s="26" t="s">
        <v>7</v>
      </c>
      <c r="L12" s="4">
        <v>0</v>
      </c>
      <c r="M12" s="23" t="s">
        <v>20</v>
      </c>
      <c r="N12" s="33">
        <v>2</v>
      </c>
    </row>
    <row r="13" spans="1:14" ht="16" thickBot="1" x14ac:dyDescent="0.25">
      <c r="A13" s="516"/>
      <c r="B13" s="520" t="s">
        <v>0</v>
      </c>
      <c r="C13" s="521"/>
      <c r="D13" s="139" t="s">
        <v>267</v>
      </c>
      <c r="E13" s="135">
        <v>13</v>
      </c>
      <c r="F13" s="139" t="s">
        <v>268</v>
      </c>
      <c r="G13" s="134">
        <v>9</v>
      </c>
      <c r="H13" s="514"/>
      <c r="I13" s="523" t="s">
        <v>0</v>
      </c>
      <c r="J13" s="524"/>
      <c r="K13" s="133" t="s">
        <v>267</v>
      </c>
      <c r="L13" s="135">
        <v>11</v>
      </c>
      <c r="M13" s="133" t="s">
        <v>268</v>
      </c>
      <c r="N13" s="134">
        <v>8</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12</v>
      </c>
      <c r="C16" s="30">
        <v>4</v>
      </c>
      <c r="D16">
        <v>0</v>
      </c>
      <c r="E16" s="30">
        <v>2</v>
      </c>
      <c r="F16">
        <v>4</v>
      </c>
      <c r="G16" s="31">
        <v>5</v>
      </c>
      <c r="H16" s="514"/>
      <c r="I16" s="1">
        <v>17</v>
      </c>
      <c r="J16" s="30">
        <v>4</v>
      </c>
      <c r="K16">
        <v>0</v>
      </c>
      <c r="L16" s="30">
        <v>0</v>
      </c>
      <c r="M16">
        <v>4</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148</v>
      </c>
      <c r="C19" s="30">
        <v>50</v>
      </c>
      <c r="D19">
        <v>0</v>
      </c>
      <c r="E19" s="30">
        <v>16</v>
      </c>
      <c r="F19">
        <v>60</v>
      </c>
      <c r="G19" s="31">
        <v>68</v>
      </c>
      <c r="H19" s="514"/>
      <c r="I19" s="1">
        <v>167</v>
      </c>
      <c r="J19" s="30">
        <v>40</v>
      </c>
      <c r="K19">
        <v>0</v>
      </c>
      <c r="L19" s="30">
        <v>0</v>
      </c>
      <c r="M19">
        <v>36</v>
      </c>
      <c r="N19" s="31">
        <v>30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c r="E22" s="32"/>
      <c r="F22" s="4"/>
      <c r="G22" s="33">
        <v>10</v>
      </c>
      <c r="H22" s="515"/>
      <c r="I22" s="3"/>
      <c r="J22" s="32"/>
      <c r="K22" s="4"/>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1</v>
      </c>
      <c r="C26" s="35">
        <v>3</v>
      </c>
      <c r="D26" s="30">
        <v>0</v>
      </c>
      <c r="E26" s="35">
        <v>0</v>
      </c>
      <c r="F26" s="30">
        <v>0</v>
      </c>
      <c r="G26" s="31">
        <v>0</v>
      </c>
      <c r="H26" s="22" t="s">
        <v>32</v>
      </c>
      <c r="I26" s="30">
        <v>0</v>
      </c>
      <c r="J26" s="35">
        <v>0</v>
      </c>
      <c r="K26" s="30">
        <v>0</v>
      </c>
      <c r="L26" s="35">
        <v>0</v>
      </c>
      <c r="M26" s="30">
        <v>0</v>
      </c>
      <c r="N26" s="31">
        <v>0</v>
      </c>
    </row>
    <row r="27" spans="1:14" x14ac:dyDescent="0.2">
      <c r="A27" s="10" t="s">
        <v>33</v>
      </c>
      <c r="B27">
        <v>5</v>
      </c>
      <c r="C27" s="36">
        <v>24</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33</v>
      </c>
      <c r="J31" s="36">
        <v>164</v>
      </c>
      <c r="K31">
        <v>12</v>
      </c>
      <c r="L31" s="36">
        <v>56</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6DBEC-AC57-46B2-8597-93E93BC75B95}">
  <sheetPr codeName="Sheet56"/>
  <dimension ref="A1:N27"/>
  <sheetViews>
    <sheetView workbookViewId="0">
      <selection activeCell="G30" sqref="G30"/>
    </sheetView>
  </sheetViews>
  <sheetFormatPr baseColWidth="10" defaultColWidth="8.83203125" defaultRowHeight="15" x14ac:dyDescent="0.2"/>
  <sheetData>
    <row r="1" spans="1:14" ht="16" thickBot="1" x14ac:dyDescent="0.25">
      <c r="A1" s="512" t="s">
        <v>325</v>
      </c>
      <c r="B1" s="513"/>
      <c r="C1" s="513"/>
      <c r="D1" s="513"/>
      <c r="E1" s="513"/>
      <c r="F1" s="513"/>
      <c r="G1" s="513"/>
      <c r="H1" s="145">
        <v>40</v>
      </c>
      <c r="I1" s="144" t="s">
        <v>312</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25</v>
      </c>
      <c r="D5" s="12" t="s">
        <v>263</v>
      </c>
      <c r="E5" s="165">
        <v>148</v>
      </c>
      <c r="F5" s="12" t="s">
        <v>5</v>
      </c>
      <c r="G5" s="164">
        <v>27</v>
      </c>
      <c r="H5" s="514"/>
      <c r="I5" s="21" t="s">
        <v>5</v>
      </c>
      <c r="J5" s="165">
        <v>92000</v>
      </c>
      <c r="K5" s="24" t="s">
        <v>263</v>
      </c>
      <c r="L5" s="165">
        <v>167</v>
      </c>
      <c r="M5" s="24" t="s">
        <v>5</v>
      </c>
      <c r="N5" s="164">
        <v>164</v>
      </c>
    </row>
    <row r="6" spans="1:14" x14ac:dyDescent="0.2">
      <c r="A6" s="516"/>
      <c r="B6" s="10" t="s">
        <v>6</v>
      </c>
      <c r="C6" s="30">
        <v>25</v>
      </c>
      <c r="D6" s="13" t="s">
        <v>5</v>
      </c>
      <c r="E6" s="30">
        <v>148</v>
      </c>
      <c r="F6" s="13" t="s">
        <v>6</v>
      </c>
      <c r="G6" s="31">
        <v>27</v>
      </c>
      <c r="H6" s="514"/>
      <c r="I6" s="22" t="s">
        <v>6</v>
      </c>
      <c r="J6" s="30">
        <v>41500</v>
      </c>
      <c r="K6" s="25" t="s">
        <v>329</v>
      </c>
      <c r="L6" s="30">
        <v>167</v>
      </c>
      <c r="M6" s="25" t="s">
        <v>6</v>
      </c>
      <c r="N6" s="31">
        <v>56</v>
      </c>
    </row>
    <row r="7" spans="1:14" ht="16" thickBot="1" x14ac:dyDescent="0.25">
      <c r="A7" s="516"/>
      <c r="B7" s="11" t="s">
        <v>7</v>
      </c>
      <c r="C7" s="4" t="s">
        <v>197</v>
      </c>
      <c r="D7" s="14" t="s">
        <v>7</v>
      </c>
      <c r="E7" s="4">
        <v>0</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40</v>
      </c>
      <c r="H9" s="514"/>
      <c r="I9" s="532" t="s">
        <v>8</v>
      </c>
      <c r="J9" s="533"/>
      <c r="K9" s="533" t="s">
        <v>10</v>
      </c>
      <c r="L9" s="533"/>
      <c r="M9" s="21" t="s">
        <v>17</v>
      </c>
      <c r="N9" s="2">
        <v>40</v>
      </c>
    </row>
    <row r="10" spans="1:14" x14ac:dyDescent="0.2">
      <c r="A10" s="516"/>
      <c r="B10" s="10" t="s">
        <v>5</v>
      </c>
      <c r="C10">
        <v>6</v>
      </c>
      <c r="D10" s="13" t="s">
        <v>5</v>
      </c>
      <c r="E10">
        <v>6</v>
      </c>
      <c r="F10" s="10" t="s">
        <v>18</v>
      </c>
      <c r="G10" s="31">
        <v>4</v>
      </c>
      <c r="H10" s="514"/>
      <c r="I10" s="22" t="s">
        <v>5</v>
      </c>
      <c r="J10">
        <v>33</v>
      </c>
      <c r="K10" s="25" t="s">
        <v>5</v>
      </c>
      <c r="L10">
        <v>6</v>
      </c>
      <c r="M10" s="22" t="s">
        <v>18</v>
      </c>
      <c r="N10" s="31">
        <v>4</v>
      </c>
    </row>
    <row r="11" spans="1:14" x14ac:dyDescent="0.2">
      <c r="A11" s="516"/>
      <c r="B11" s="10" t="s">
        <v>6</v>
      </c>
      <c r="C11" s="30">
        <v>0</v>
      </c>
      <c r="D11" s="13" t="s">
        <v>6</v>
      </c>
      <c r="E11" s="30">
        <v>0</v>
      </c>
      <c r="F11" s="10" t="s">
        <v>354</v>
      </c>
      <c r="G11" s="164">
        <v>11</v>
      </c>
      <c r="H11" s="514"/>
      <c r="I11" s="22" t="s">
        <v>6</v>
      </c>
      <c r="J11" s="30">
        <v>12</v>
      </c>
      <c r="K11" s="25" t="s">
        <v>6</v>
      </c>
      <c r="L11" s="30">
        <v>1</v>
      </c>
      <c r="M11" s="22" t="s">
        <v>19</v>
      </c>
      <c r="N11" s="164">
        <v>10</v>
      </c>
    </row>
    <row r="12" spans="1:14" ht="16" thickBot="1" x14ac:dyDescent="0.25">
      <c r="A12" s="516"/>
      <c r="B12" s="11" t="s">
        <v>7</v>
      </c>
      <c r="C12" s="4">
        <v>0</v>
      </c>
      <c r="D12" s="14" t="s">
        <v>7</v>
      </c>
      <c r="E12" s="4">
        <v>0</v>
      </c>
      <c r="F12" s="11" t="s">
        <v>353</v>
      </c>
      <c r="G12" s="33">
        <v>6</v>
      </c>
      <c r="H12" s="514"/>
      <c r="I12" s="23" t="s">
        <v>7</v>
      </c>
      <c r="J12" s="4">
        <v>0</v>
      </c>
      <c r="K12" s="26" t="s">
        <v>7</v>
      </c>
      <c r="L12" s="4">
        <v>0</v>
      </c>
      <c r="M12" s="23" t="s">
        <v>20</v>
      </c>
      <c r="N12" s="33">
        <v>2</v>
      </c>
    </row>
    <row r="13" spans="1:14" ht="16" thickBot="1" x14ac:dyDescent="0.25">
      <c r="A13" s="516"/>
      <c r="B13" s="520" t="s">
        <v>0</v>
      </c>
      <c r="C13" s="521"/>
      <c r="D13" s="139" t="s">
        <v>267</v>
      </c>
      <c r="E13" s="135">
        <v>13</v>
      </c>
      <c r="F13" s="139" t="s">
        <v>268</v>
      </c>
      <c r="G13" s="134">
        <v>9</v>
      </c>
      <c r="H13" s="514"/>
      <c r="I13" s="523" t="s">
        <v>0</v>
      </c>
      <c r="J13" s="524"/>
      <c r="K13" s="133" t="s">
        <v>267</v>
      </c>
      <c r="L13" s="135">
        <v>11</v>
      </c>
      <c r="M13" s="133" t="s">
        <v>268</v>
      </c>
      <c r="N13" s="134">
        <v>8</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12</v>
      </c>
      <c r="C16" s="30">
        <v>4</v>
      </c>
      <c r="D16">
        <v>0</v>
      </c>
      <c r="E16" s="30">
        <v>2</v>
      </c>
      <c r="F16">
        <v>4</v>
      </c>
      <c r="G16" s="31">
        <v>5</v>
      </c>
      <c r="H16" s="514"/>
      <c r="I16" s="1">
        <v>17</v>
      </c>
      <c r="J16" s="30">
        <v>4</v>
      </c>
      <c r="K16">
        <v>0</v>
      </c>
      <c r="L16" s="30">
        <v>0</v>
      </c>
      <c r="M16">
        <v>4</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148</v>
      </c>
      <c r="C19" s="30">
        <v>50</v>
      </c>
      <c r="D19">
        <v>0</v>
      </c>
      <c r="E19" s="30">
        <v>16</v>
      </c>
      <c r="F19">
        <v>60</v>
      </c>
      <c r="G19" s="31">
        <v>68</v>
      </c>
      <c r="H19" s="514"/>
      <c r="I19" s="1">
        <v>167</v>
      </c>
      <c r="J19" s="30">
        <v>40</v>
      </c>
      <c r="K19">
        <v>0</v>
      </c>
      <c r="L19" s="30">
        <v>0</v>
      </c>
      <c r="M19">
        <v>36</v>
      </c>
      <c r="N19" s="31">
        <v>30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c r="E22" s="32"/>
      <c r="F22" s="4"/>
      <c r="G22" s="33">
        <v>10</v>
      </c>
      <c r="H22" s="515"/>
      <c r="I22" s="3"/>
      <c r="J22" s="32"/>
      <c r="K22" s="4"/>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10" t="s">
        <v>32</v>
      </c>
      <c r="B25" s="30">
        <v>1</v>
      </c>
      <c r="C25" s="35">
        <v>3</v>
      </c>
      <c r="D25" s="30">
        <v>0</v>
      </c>
      <c r="E25" s="35">
        <v>0</v>
      </c>
      <c r="F25" s="30">
        <v>0</v>
      </c>
      <c r="G25" s="31">
        <v>0</v>
      </c>
      <c r="H25" s="22" t="s">
        <v>32</v>
      </c>
      <c r="I25" s="30">
        <v>0</v>
      </c>
      <c r="J25" s="35">
        <v>0</v>
      </c>
      <c r="K25" s="30">
        <v>0</v>
      </c>
      <c r="L25" s="35">
        <v>0</v>
      </c>
      <c r="M25" s="30">
        <v>0</v>
      </c>
      <c r="N25" s="31">
        <v>0</v>
      </c>
    </row>
    <row r="26" spans="1:14" x14ac:dyDescent="0.2">
      <c r="A26" s="10" t="s">
        <v>33</v>
      </c>
      <c r="B26">
        <v>5</v>
      </c>
      <c r="C26" s="36">
        <v>24</v>
      </c>
      <c r="D26">
        <v>0</v>
      </c>
      <c r="E26" s="36">
        <v>0</v>
      </c>
      <c r="F26">
        <v>0</v>
      </c>
      <c r="G26" s="2">
        <v>0</v>
      </c>
      <c r="H26" s="22" t="s">
        <v>33</v>
      </c>
      <c r="I26">
        <v>0</v>
      </c>
      <c r="J26" s="36">
        <v>0</v>
      </c>
      <c r="K26">
        <v>0</v>
      </c>
      <c r="L26" s="36">
        <v>0</v>
      </c>
      <c r="M26">
        <v>0</v>
      </c>
      <c r="N26" s="2">
        <v>0</v>
      </c>
    </row>
    <row r="27" spans="1:14" x14ac:dyDescent="0.2">
      <c r="A27" s="285" t="s">
        <v>37</v>
      </c>
      <c r="B27" s="169">
        <v>0</v>
      </c>
      <c r="C27" s="170">
        <v>0</v>
      </c>
      <c r="D27" s="169">
        <v>0</v>
      </c>
      <c r="E27" s="170">
        <v>0</v>
      </c>
      <c r="F27" s="169">
        <v>0</v>
      </c>
      <c r="G27" s="171">
        <v>0</v>
      </c>
      <c r="H27" s="279" t="s">
        <v>37</v>
      </c>
      <c r="I27" s="169">
        <v>33</v>
      </c>
      <c r="J27" s="170">
        <v>164</v>
      </c>
      <c r="K27" s="169">
        <v>12</v>
      </c>
      <c r="L27" s="170">
        <v>56</v>
      </c>
      <c r="M27" s="169">
        <v>0</v>
      </c>
      <c r="N27" s="171">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B44DF-7E21-4052-A021-518FA652D59E}">
  <sheetPr codeName="Sheet45"/>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39</v>
      </c>
      <c r="I1" s="144" t="s">
        <v>311</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99</v>
      </c>
      <c r="D5" s="12" t="s">
        <v>263</v>
      </c>
      <c r="E5" s="165">
        <v>305</v>
      </c>
      <c r="F5" s="12" t="s">
        <v>5</v>
      </c>
      <c r="G5" s="164">
        <v>102</v>
      </c>
      <c r="H5" s="514"/>
      <c r="I5" s="21" t="s">
        <v>5</v>
      </c>
      <c r="J5" s="165">
        <v>68</v>
      </c>
      <c r="K5" s="24" t="s">
        <v>263</v>
      </c>
      <c r="L5" s="165">
        <v>171</v>
      </c>
      <c r="M5" s="24" t="s">
        <v>5</v>
      </c>
      <c r="N5" s="164">
        <v>29</v>
      </c>
    </row>
    <row r="6" spans="1:14" x14ac:dyDescent="0.2">
      <c r="A6" s="516"/>
      <c r="B6" s="10" t="s">
        <v>6</v>
      </c>
      <c r="C6" s="30">
        <v>0</v>
      </c>
      <c r="D6" s="13" t="s">
        <v>5</v>
      </c>
      <c r="E6" s="30">
        <v>289.75</v>
      </c>
      <c r="F6" s="13" t="s">
        <v>6</v>
      </c>
      <c r="G6" s="31">
        <v>0</v>
      </c>
      <c r="H6" s="514"/>
      <c r="I6" s="22" t="s">
        <v>6</v>
      </c>
      <c r="J6" s="30">
        <v>0</v>
      </c>
      <c r="K6" s="25" t="s">
        <v>329</v>
      </c>
      <c r="L6" s="30">
        <v>171</v>
      </c>
      <c r="M6" s="25" t="s">
        <v>6</v>
      </c>
      <c r="N6" s="31">
        <v>0</v>
      </c>
    </row>
    <row r="7" spans="1:14" ht="16" thickBot="1" x14ac:dyDescent="0.25">
      <c r="A7" s="516"/>
      <c r="B7" s="11" t="s">
        <v>7</v>
      </c>
      <c r="C7" s="4" t="s">
        <v>197</v>
      </c>
      <c r="D7" s="14" t="s">
        <v>7</v>
      </c>
      <c r="E7" s="4">
        <v>15.250000000000014</v>
      </c>
      <c r="F7" s="14" t="s">
        <v>7</v>
      </c>
      <c r="G7" s="5">
        <v>2</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39</v>
      </c>
      <c r="H9" s="514"/>
      <c r="I9" s="532" t="s">
        <v>8</v>
      </c>
      <c r="J9" s="533"/>
      <c r="K9" s="533" t="s">
        <v>10</v>
      </c>
      <c r="L9" s="533"/>
      <c r="M9" s="21" t="s">
        <v>17</v>
      </c>
      <c r="N9" s="2">
        <v>39</v>
      </c>
    </row>
    <row r="10" spans="1:14" x14ac:dyDescent="0.2">
      <c r="A10" s="516"/>
      <c r="B10" s="10" t="s">
        <v>5</v>
      </c>
      <c r="C10">
        <v>58</v>
      </c>
      <c r="D10" s="13" t="s">
        <v>5</v>
      </c>
      <c r="E10">
        <v>20</v>
      </c>
      <c r="F10" s="10" t="s">
        <v>18</v>
      </c>
      <c r="G10" s="31">
        <v>5</v>
      </c>
      <c r="H10" s="514"/>
      <c r="I10" s="22" t="s">
        <v>5</v>
      </c>
      <c r="J10">
        <v>8</v>
      </c>
      <c r="K10" s="25" t="s">
        <v>5</v>
      </c>
      <c r="L10">
        <v>8</v>
      </c>
      <c r="M10" s="22" t="s">
        <v>18</v>
      </c>
      <c r="N10" s="31">
        <v>5</v>
      </c>
    </row>
    <row r="11" spans="1:14" x14ac:dyDescent="0.2">
      <c r="A11" s="516"/>
      <c r="B11" s="10" t="s">
        <v>6</v>
      </c>
      <c r="C11" s="30">
        <v>38</v>
      </c>
      <c r="D11" s="13" t="s">
        <v>6</v>
      </c>
      <c r="E11" s="30">
        <v>0</v>
      </c>
      <c r="F11" s="10" t="s">
        <v>354</v>
      </c>
      <c r="G11" s="164">
        <v>18</v>
      </c>
      <c r="H11" s="514"/>
      <c r="I11" s="22" t="s">
        <v>6</v>
      </c>
      <c r="J11" s="30">
        <v>0</v>
      </c>
      <c r="K11" s="25" t="s">
        <v>6</v>
      </c>
      <c r="L11" s="30">
        <v>0</v>
      </c>
      <c r="M11" s="22" t="s">
        <v>19</v>
      </c>
      <c r="N11" s="164"/>
    </row>
    <row r="12" spans="1:14" ht="16" thickBot="1" x14ac:dyDescent="0.25">
      <c r="A12" s="516"/>
      <c r="B12" s="11" t="s">
        <v>7</v>
      </c>
      <c r="C12" s="4">
        <v>1</v>
      </c>
      <c r="D12" s="14" t="s">
        <v>7</v>
      </c>
      <c r="E12" s="4">
        <v>1</v>
      </c>
      <c r="F12" s="11" t="s">
        <v>353</v>
      </c>
      <c r="G12" s="33">
        <v>6</v>
      </c>
      <c r="H12" s="514"/>
      <c r="I12" s="23" t="s">
        <v>7</v>
      </c>
      <c r="J12" s="4">
        <v>0</v>
      </c>
      <c r="K12" s="26" t="s">
        <v>7</v>
      </c>
      <c r="L12" s="4">
        <v>0</v>
      </c>
      <c r="M12" s="23" t="s">
        <v>20</v>
      </c>
      <c r="N12" s="33">
        <v>2</v>
      </c>
    </row>
    <row r="13" spans="1:14" ht="16" thickBot="1" x14ac:dyDescent="0.25">
      <c r="A13" s="516"/>
      <c r="B13" s="520" t="s">
        <v>0</v>
      </c>
      <c r="C13" s="521"/>
      <c r="D13" s="139" t="s">
        <v>267</v>
      </c>
      <c r="E13" s="135">
        <v>13</v>
      </c>
      <c r="F13" s="139" t="s">
        <v>268</v>
      </c>
      <c r="G13" s="134">
        <v>10</v>
      </c>
      <c r="H13" s="514"/>
      <c r="I13" s="523" t="s">
        <v>0</v>
      </c>
      <c r="J13" s="524"/>
      <c r="K13" s="133" t="s">
        <v>267</v>
      </c>
      <c r="L13" s="135">
        <v>11</v>
      </c>
      <c r="M13" s="133" t="s">
        <v>268</v>
      </c>
      <c r="N13" s="134">
        <v>9</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17</v>
      </c>
      <c r="C16" s="30">
        <v>6</v>
      </c>
      <c r="D16">
        <v>0</v>
      </c>
      <c r="E16" s="30">
        <v>2</v>
      </c>
      <c r="F16">
        <v>0</v>
      </c>
      <c r="G16" s="31">
        <v>8</v>
      </c>
      <c r="H16" s="514"/>
      <c r="I16" s="1">
        <v>22</v>
      </c>
      <c r="J16" s="30">
        <v>8</v>
      </c>
      <c r="K16">
        <v>0</v>
      </c>
      <c r="L16" s="30">
        <v>0</v>
      </c>
      <c r="M16">
        <v>4</v>
      </c>
      <c r="N16" s="31">
        <v>1</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305</v>
      </c>
      <c r="C19" s="30">
        <v>112</v>
      </c>
      <c r="D19">
        <v>0</v>
      </c>
      <c r="E19" s="30">
        <v>34</v>
      </c>
      <c r="F19">
        <v>0</v>
      </c>
      <c r="G19" s="31">
        <v>145</v>
      </c>
      <c r="H19" s="514"/>
      <c r="I19" s="1">
        <v>171</v>
      </c>
      <c r="J19" s="30">
        <v>60</v>
      </c>
      <c r="K19">
        <v>0</v>
      </c>
      <c r="L19" s="30">
        <v>0</v>
      </c>
      <c r="M19">
        <v>35</v>
      </c>
      <c r="N19" s="31">
        <v>7</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c r="E22" s="32"/>
      <c r="F22" s="4"/>
      <c r="G22" s="33">
        <v>1</v>
      </c>
      <c r="H22" s="515"/>
      <c r="I22" s="3"/>
      <c r="J22" s="32"/>
      <c r="K22" s="4">
        <v>6</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1</v>
      </c>
      <c r="C26" s="35">
        <v>10</v>
      </c>
      <c r="D26" s="30">
        <v>0</v>
      </c>
      <c r="E26" s="35">
        <v>0</v>
      </c>
      <c r="F26" s="30">
        <v>1</v>
      </c>
      <c r="G26" s="31">
        <v>2</v>
      </c>
      <c r="H26" s="22" t="s">
        <v>32</v>
      </c>
      <c r="I26" s="30">
        <v>0</v>
      </c>
      <c r="J26" s="35">
        <v>0</v>
      </c>
      <c r="K26" s="30">
        <v>0</v>
      </c>
      <c r="L26" s="35">
        <v>0</v>
      </c>
      <c r="M26" s="30">
        <v>0</v>
      </c>
      <c r="N26" s="31">
        <v>0</v>
      </c>
    </row>
    <row r="27" spans="1:14" x14ac:dyDescent="0.2">
      <c r="A27" s="10" t="s">
        <v>33</v>
      </c>
      <c r="B27">
        <v>17</v>
      </c>
      <c r="C27" s="36">
        <v>84</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2</v>
      </c>
      <c r="C31" s="36">
        <v>6</v>
      </c>
      <c r="D31">
        <v>0</v>
      </c>
      <c r="E31" s="36">
        <v>0</v>
      </c>
      <c r="F31">
        <v>0</v>
      </c>
      <c r="G31" s="2">
        <v>0</v>
      </c>
      <c r="H31" s="22" t="s">
        <v>37</v>
      </c>
      <c r="I31">
        <v>8</v>
      </c>
      <c r="J31" s="36">
        <v>29</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8D2E6-2889-4AF3-9D1B-CC56A6B0F9D8}">
  <sheetPr codeName="Sheet54"/>
  <dimension ref="A1:N27"/>
  <sheetViews>
    <sheetView topLeftCell="C1" workbookViewId="0">
      <selection activeCell="Q11" sqref="Q11"/>
    </sheetView>
  </sheetViews>
  <sheetFormatPr baseColWidth="10" defaultColWidth="8.83203125" defaultRowHeight="15" x14ac:dyDescent="0.2"/>
  <cols>
    <col min="13" max="13" width="20.6640625" customWidth="1"/>
  </cols>
  <sheetData>
    <row r="1" spans="1:14" ht="16" thickBot="1" x14ac:dyDescent="0.25">
      <c r="A1" s="512" t="s">
        <v>325</v>
      </c>
      <c r="B1" s="513"/>
      <c r="C1" s="513"/>
      <c r="D1" s="513"/>
      <c r="E1" s="513"/>
      <c r="F1" s="513"/>
      <c r="G1" s="513"/>
      <c r="H1" s="145">
        <v>39</v>
      </c>
      <c r="I1" s="144" t="s">
        <v>311</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99</v>
      </c>
      <c r="D5" s="12" t="s">
        <v>263</v>
      </c>
      <c r="E5" s="165">
        <v>305</v>
      </c>
      <c r="F5" s="12" t="s">
        <v>5</v>
      </c>
      <c r="G5" s="164">
        <v>102</v>
      </c>
      <c r="H5" s="514"/>
      <c r="I5" s="21" t="s">
        <v>5</v>
      </c>
      <c r="J5" s="165">
        <v>68</v>
      </c>
      <c r="K5" s="24" t="s">
        <v>263</v>
      </c>
      <c r="L5" s="165">
        <v>171</v>
      </c>
      <c r="M5" s="24" t="s">
        <v>5</v>
      </c>
      <c r="N5" s="164">
        <v>29</v>
      </c>
    </row>
    <row r="6" spans="1:14" x14ac:dyDescent="0.2">
      <c r="A6" s="516"/>
      <c r="B6" s="10" t="s">
        <v>6</v>
      </c>
      <c r="C6" s="30">
        <v>0</v>
      </c>
      <c r="D6" s="13" t="s">
        <v>5</v>
      </c>
      <c r="E6" s="30">
        <v>289.75</v>
      </c>
      <c r="F6" s="13" t="s">
        <v>6</v>
      </c>
      <c r="G6" s="31">
        <v>0</v>
      </c>
      <c r="H6" s="514"/>
      <c r="I6" s="22" t="s">
        <v>6</v>
      </c>
      <c r="J6" s="30">
        <v>0</v>
      </c>
      <c r="K6" s="25" t="s">
        <v>329</v>
      </c>
      <c r="L6" s="30">
        <v>171</v>
      </c>
      <c r="M6" s="25" t="s">
        <v>6</v>
      </c>
      <c r="N6" s="31">
        <v>0</v>
      </c>
    </row>
    <row r="7" spans="1:14" ht="16" thickBot="1" x14ac:dyDescent="0.25">
      <c r="A7" s="516"/>
      <c r="B7" s="11" t="s">
        <v>7</v>
      </c>
      <c r="C7" s="4" t="s">
        <v>197</v>
      </c>
      <c r="D7" s="14" t="s">
        <v>7</v>
      </c>
      <c r="E7" s="4">
        <v>15.250000000000014</v>
      </c>
      <c r="F7" s="14" t="s">
        <v>7</v>
      </c>
      <c r="G7" s="5">
        <v>2</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39</v>
      </c>
      <c r="H9" s="514"/>
      <c r="I9" s="532" t="s">
        <v>8</v>
      </c>
      <c r="J9" s="533"/>
      <c r="K9" s="533" t="s">
        <v>10</v>
      </c>
      <c r="L9" s="533"/>
      <c r="M9" s="21" t="s">
        <v>17</v>
      </c>
      <c r="N9" s="2">
        <v>39</v>
      </c>
    </row>
    <row r="10" spans="1:14" x14ac:dyDescent="0.2">
      <c r="A10" s="516"/>
      <c r="B10" s="10" t="s">
        <v>5</v>
      </c>
      <c r="C10">
        <v>58</v>
      </c>
      <c r="D10" s="13" t="s">
        <v>5</v>
      </c>
      <c r="E10">
        <v>20</v>
      </c>
      <c r="F10" s="10" t="s">
        <v>18</v>
      </c>
      <c r="G10" s="31">
        <v>5</v>
      </c>
      <c r="H10" s="514"/>
      <c r="I10" s="22" t="s">
        <v>5</v>
      </c>
      <c r="J10">
        <v>8</v>
      </c>
      <c r="K10" s="25" t="s">
        <v>5</v>
      </c>
      <c r="L10">
        <v>8</v>
      </c>
      <c r="M10" s="22" t="s">
        <v>18</v>
      </c>
      <c r="N10" s="31">
        <v>5</v>
      </c>
    </row>
    <row r="11" spans="1:14" x14ac:dyDescent="0.2">
      <c r="A11" s="516"/>
      <c r="B11" s="10" t="s">
        <v>6</v>
      </c>
      <c r="C11" s="30">
        <v>38</v>
      </c>
      <c r="D11" s="13" t="s">
        <v>6</v>
      </c>
      <c r="E11" s="30">
        <v>0</v>
      </c>
      <c r="F11" s="10" t="s">
        <v>354</v>
      </c>
      <c r="G11" s="164">
        <v>18</v>
      </c>
      <c r="H11" s="514"/>
      <c r="I11" s="22" t="s">
        <v>6</v>
      </c>
      <c r="J11" s="30">
        <v>0</v>
      </c>
      <c r="K11" s="25" t="s">
        <v>6</v>
      </c>
      <c r="L11" s="30">
        <v>0</v>
      </c>
      <c r="M11" s="22" t="s">
        <v>19</v>
      </c>
      <c r="N11" s="164"/>
    </row>
    <row r="12" spans="1:14" ht="16" thickBot="1" x14ac:dyDescent="0.25">
      <c r="A12" s="516"/>
      <c r="B12" s="11" t="s">
        <v>7</v>
      </c>
      <c r="C12" s="4">
        <v>1</v>
      </c>
      <c r="D12" s="14" t="s">
        <v>7</v>
      </c>
      <c r="E12" s="4">
        <v>1</v>
      </c>
      <c r="F12" s="11" t="s">
        <v>353</v>
      </c>
      <c r="G12" s="33">
        <v>6</v>
      </c>
      <c r="H12" s="514"/>
      <c r="I12" s="23" t="s">
        <v>7</v>
      </c>
      <c r="J12" s="4">
        <v>0</v>
      </c>
      <c r="K12" s="26" t="s">
        <v>7</v>
      </c>
      <c r="L12" s="4">
        <v>0</v>
      </c>
      <c r="M12" s="23" t="s">
        <v>20</v>
      </c>
      <c r="N12" s="33">
        <v>2</v>
      </c>
    </row>
    <row r="13" spans="1:14" ht="16" thickBot="1" x14ac:dyDescent="0.25">
      <c r="A13" s="516"/>
      <c r="B13" s="520" t="s">
        <v>0</v>
      </c>
      <c r="C13" s="521"/>
      <c r="D13" s="139" t="s">
        <v>267</v>
      </c>
      <c r="E13" s="135">
        <v>13</v>
      </c>
      <c r="F13" s="139" t="s">
        <v>268</v>
      </c>
      <c r="G13" s="134">
        <v>10</v>
      </c>
      <c r="H13" s="514"/>
      <c r="I13" s="523" t="s">
        <v>0</v>
      </c>
      <c r="J13" s="524"/>
      <c r="K13" s="133" t="s">
        <v>267</v>
      </c>
      <c r="L13" s="135">
        <v>11</v>
      </c>
      <c r="M13" s="133" t="s">
        <v>268</v>
      </c>
      <c r="N13" s="134">
        <v>9</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17</v>
      </c>
      <c r="C16" s="30">
        <v>6</v>
      </c>
      <c r="D16">
        <v>0</v>
      </c>
      <c r="E16" s="30">
        <v>2</v>
      </c>
      <c r="F16">
        <v>0</v>
      </c>
      <c r="G16" s="31">
        <v>8</v>
      </c>
      <c r="H16" s="514"/>
      <c r="I16" s="1">
        <v>22</v>
      </c>
      <c r="J16" s="30">
        <v>8</v>
      </c>
      <c r="K16">
        <v>0</v>
      </c>
      <c r="L16" s="30">
        <v>0</v>
      </c>
      <c r="M16">
        <v>4</v>
      </c>
      <c r="N16" s="31">
        <v>1</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305</v>
      </c>
      <c r="C19" s="30">
        <v>112</v>
      </c>
      <c r="D19">
        <v>0</v>
      </c>
      <c r="E19" s="30">
        <v>34</v>
      </c>
      <c r="F19">
        <v>0</v>
      </c>
      <c r="G19" s="31">
        <v>145</v>
      </c>
      <c r="H19" s="514"/>
      <c r="I19" s="1">
        <v>171</v>
      </c>
      <c r="J19" s="30">
        <v>60</v>
      </c>
      <c r="K19">
        <v>0</v>
      </c>
      <c r="L19" s="30">
        <v>0</v>
      </c>
      <c r="M19">
        <v>35</v>
      </c>
      <c r="N19" s="31">
        <v>7</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c r="E22" s="32"/>
      <c r="F22" s="4"/>
      <c r="G22" s="33">
        <v>1</v>
      </c>
      <c r="H22" s="515"/>
      <c r="I22" s="3"/>
      <c r="J22" s="32"/>
      <c r="K22" s="4">
        <v>6</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10" t="s">
        <v>32</v>
      </c>
      <c r="B25" s="30">
        <v>1</v>
      </c>
      <c r="C25" s="35">
        <v>10</v>
      </c>
      <c r="D25" s="30">
        <v>0</v>
      </c>
      <c r="E25" s="35">
        <v>0</v>
      </c>
      <c r="F25" s="30">
        <v>1</v>
      </c>
      <c r="G25" s="31">
        <v>2</v>
      </c>
      <c r="H25" s="22" t="s">
        <v>32</v>
      </c>
      <c r="I25" s="30">
        <v>0</v>
      </c>
      <c r="J25" s="35">
        <v>0</v>
      </c>
      <c r="K25" s="30">
        <v>0</v>
      </c>
      <c r="L25" s="35">
        <v>0</v>
      </c>
      <c r="M25" s="30">
        <v>0</v>
      </c>
      <c r="N25" s="31">
        <v>0</v>
      </c>
    </row>
    <row r="26" spans="1:14" x14ac:dyDescent="0.2">
      <c r="A26" s="10" t="s">
        <v>33</v>
      </c>
      <c r="B26">
        <v>17</v>
      </c>
      <c r="C26" s="36">
        <v>84</v>
      </c>
      <c r="D26">
        <v>0</v>
      </c>
      <c r="E26" s="36">
        <v>0</v>
      </c>
      <c r="F26">
        <v>0</v>
      </c>
      <c r="G26" s="2">
        <v>0</v>
      </c>
      <c r="H26" s="22" t="s">
        <v>33</v>
      </c>
      <c r="I26">
        <v>0</v>
      </c>
      <c r="J26" s="36">
        <v>0</v>
      </c>
      <c r="K26">
        <v>0</v>
      </c>
      <c r="L26" s="36">
        <v>0</v>
      </c>
      <c r="M26">
        <v>0</v>
      </c>
      <c r="N26" s="2">
        <v>0</v>
      </c>
    </row>
    <row r="27" spans="1:14" x14ac:dyDescent="0.2">
      <c r="A27" s="285" t="s">
        <v>37</v>
      </c>
      <c r="B27" s="169">
        <v>2</v>
      </c>
      <c r="C27" s="170">
        <v>6</v>
      </c>
      <c r="D27" s="169">
        <v>0</v>
      </c>
      <c r="E27" s="170">
        <v>0</v>
      </c>
      <c r="F27" s="169">
        <v>0</v>
      </c>
      <c r="G27" s="171">
        <v>0</v>
      </c>
      <c r="H27" s="279" t="s">
        <v>37</v>
      </c>
      <c r="I27" s="169">
        <v>8</v>
      </c>
      <c r="J27" s="170">
        <v>29</v>
      </c>
      <c r="K27" s="169">
        <v>0</v>
      </c>
      <c r="L27" s="170">
        <v>0</v>
      </c>
      <c r="M27" s="169">
        <v>0</v>
      </c>
      <c r="N27" s="171">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D5CD1-975F-48C6-BE9B-A090624844F2}">
  <sheetPr codeName="Sheet46"/>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38</v>
      </c>
      <c r="I1" s="144" t="s">
        <v>310</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21</v>
      </c>
      <c r="D5" s="12" t="s">
        <v>263</v>
      </c>
      <c r="E5" s="165">
        <v>156</v>
      </c>
      <c r="F5" s="12" t="s">
        <v>5</v>
      </c>
      <c r="G5" s="164">
        <v>28</v>
      </c>
      <c r="H5" s="514"/>
      <c r="I5" s="21" t="s">
        <v>5</v>
      </c>
      <c r="J5" s="165">
        <v>324</v>
      </c>
      <c r="K5" s="24" t="s">
        <v>263</v>
      </c>
      <c r="L5" s="165">
        <v>234</v>
      </c>
      <c r="M5" s="24" t="s">
        <v>5</v>
      </c>
      <c r="N5" s="164">
        <v>198</v>
      </c>
    </row>
    <row r="6" spans="1:14" x14ac:dyDescent="0.2">
      <c r="A6" s="516"/>
      <c r="B6" s="10" t="s">
        <v>6</v>
      </c>
      <c r="C6" s="30">
        <v>0</v>
      </c>
      <c r="D6" s="13" t="s">
        <v>5</v>
      </c>
      <c r="E6" s="30">
        <v>115.44</v>
      </c>
      <c r="F6" s="13" t="s">
        <v>6</v>
      </c>
      <c r="G6" s="31">
        <v>0</v>
      </c>
      <c r="H6" s="514"/>
      <c r="I6" s="22" t="s">
        <v>6</v>
      </c>
      <c r="J6" s="30">
        <v>221</v>
      </c>
      <c r="K6" s="25" t="s">
        <v>329</v>
      </c>
      <c r="L6" s="30">
        <v>234</v>
      </c>
      <c r="M6" s="25" t="s">
        <v>6</v>
      </c>
      <c r="N6" s="31">
        <v>68</v>
      </c>
    </row>
    <row r="7" spans="1:14" ht="16" thickBot="1" x14ac:dyDescent="0.25">
      <c r="A7" s="516"/>
      <c r="B7" s="11" t="s">
        <v>7</v>
      </c>
      <c r="C7" s="4" t="s">
        <v>197</v>
      </c>
      <c r="D7" s="14" t="s">
        <v>7</v>
      </c>
      <c r="E7" s="4">
        <v>40.56</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38</v>
      </c>
      <c r="H9" s="514"/>
      <c r="I9" s="532" t="s">
        <v>8</v>
      </c>
      <c r="J9" s="533"/>
      <c r="K9" s="533" t="s">
        <v>10</v>
      </c>
      <c r="L9" s="533"/>
      <c r="M9" s="21" t="s">
        <v>17</v>
      </c>
      <c r="N9" s="2">
        <v>38</v>
      </c>
    </row>
    <row r="10" spans="1:14" x14ac:dyDescent="0.2">
      <c r="A10" s="516"/>
      <c r="B10" s="10" t="s">
        <v>5</v>
      </c>
      <c r="C10">
        <v>48</v>
      </c>
      <c r="D10" s="13" t="s">
        <v>5</v>
      </c>
      <c r="E10">
        <v>10</v>
      </c>
      <c r="F10" s="10" t="s">
        <v>18</v>
      </c>
      <c r="G10" s="31">
        <v>5</v>
      </c>
      <c r="H10" s="514"/>
      <c r="I10" s="22" t="s">
        <v>5</v>
      </c>
      <c r="J10">
        <v>53</v>
      </c>
      <c r="K10" s="25" t="s">
        <v>5</v>
      </c>
      <c r="L10">
        <v>48</v>
      </c>
      <c r="M10" s="22" t="s">
        <v>18</v>
      </c>
      <c r="N10" s="31">
        <v>5</v>
      </c>
    </row>
    <row r="11" spans="1:14" x14ac:dyDescent="0.2">
      <c r="A11" s="516"/>
      <c r="B11" s="10" t="s">
        <v>6</v>
      </c>
      <c r="C11" s="30">
        <v>38</v>
      </c>
      <c r="D11" s="13" t="s">
        <v>6</v>
      </c>
      <c r="E11" s="30">
        <v>0</v>
      </c>
      <c r="F11" s="10" t="s">
        <v>354</v>
      </c>
      <c r="G11" s="164">
        <v>7</v>
      </c>
      <c r="H11" s="514"/>
      <c r="I11" s="22" t="s">
        <v>6</v>
      </c>
      <c r="J11" s="30">
        <v>43</v>
      </c>
      <c r="K11" s="25" t="s">
        <v>6</v>
      </c>
      <c r="L11" s="30">
        <v>40</v>
      </c>
      <c r="M11" s="22" t="s">
        <v>19</v>
      </c>
      <c r="N11" s="164">
        <v>10</v>
      </c>
    </row>
    <row r="12" spans="1:14" ht="16" thickBot="1" x14ac:dyDescent="0.25">
      <c r="A12" s="516"/>
      <c r="B12" s="11" t="s">
        <v>7</v>
      </c>
      <c r="C12" s="4">
        <v>1</v>
      </c>
      <c r="D12" s="14" t="s">
        <v>7</v>
      </c>
      <c r="E12" s="4">
        <v>1</v>
      </c>
      <c r="F12" s="11" t="s">
        <v>353</v>
      </c>
      <c r="G12" s="33">
        <v>10</v>
      </c>
      <c r="H12" s="514"/>
      <c r="I12" s="23" t="s">
        <v>7</v>
      </c>
      <c r="J12" s="4">
        <v>0</v>
      </c>
      <c r="K12" s="26" t="s">
        <v>7</v>
      </c>
      <c r="L12" s="4">
        <v>0</v>
      </c>
      <c r="M12" s="23" t="s">
        <v>20</v>
      </c>
      <c r="N12" s="33">
        <v>2</v>
      </c>
    </row>
    <row r="13" spans="1:14" ht="16" thickBot="1" x14ac:dyDescent="0.25">
      <c r="A13" s="516"/>
      <c r="B13" s="520" t="s">
        <v>0</v>
      </c>
      <c r="C13" s="521"/>
      <c r="D13" s="139" t="s">
        <v>267</v>
      </c>
      <c r="E13" s="135">
        <v>14</v>
      </c>
      <c r="F13" s="139" t="s">
        <v>268</v>
      </c>
      <c r="G13" s="134">
        <v>12</v>
      </c>
      <c r="H13" s="514"/>
      <c r="I13" s="523" t="s">
        <v>0</v>
      </c>
      <c r="J13" s="524"/>
      <c r="K13" s="133" t="s">
        <v>267</v>
      </c>
      <c r="L13" s="135">
        <v>12</v>
      </c>
      <c r="M13" s="133" t="s">
        <v>268</v>
      </c>
      <c r="N13" s="134">
        <v>12</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17</v>
      </c>
      <c r="C16" s="30">
        <v>6</v>
      </c>
      <c r="D16">
        <v>0</v>
      </c>
      <c r="E16" s="30">
        <v>2</v>
      </c>
      <c r="F16">
        <v>0</v>
      </c>
      <c r="G16" s="31">
        <v>8</v>
      </c>
      <c r="H16" s="514"/>
      <c r="I16" s="1">
        <v>24</v>
      </c>
      <c r="J16" s="30">
        <v>8</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156</v>
      </c>
      <c r="C19" s="30">
        <v>47</v>
      </c>
      <c r="D19">
        <v>0</v>
      </c>
      <c r="E19" s="30">
        <v>0</v>
      </c>
      <c r="F19">
        <v>0</v>
      </c>
      <c r="G19" s="31">
        <v>36</v>
      </c>
      <c r="H19" s="514"/>
      <c r="I19" s="1">
        <v>234</v>
      </c>
      <c r="J19" s="30">
        <v>77</v>
      </c>
      <c r="K19">
        <v>0</v>
      </c>
      <c r="L19" s="30">
        <v>0</v>
      </c>
      <c r="M19">
        <v>0</v>
      </c>
      <c r="N19" s="31">
        <v>25</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c r="E22" s="32"/>
      <c r="F22" s="4"/>
      <c r="G22" s="33">
        <v>32</v>
      </c>
      <c r="H22" s="515"/>
      <c r="I22" s="3"/>
      <c r="J22" s="32"/>
      <c r="K22" s="4">
        <v>4</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10</v>
      </c>
      <c r="C26" s="35">
        <v>28</v>
      </c>
      <c r="D26" s="30">
        <v>0</v>
      </c>
      <c r="E26" s="35">
        <v>0</v>
      </c>
      <c r="F26" s="30">
        <v>1</v>
      </c>
      <c r="G26" s="31">
        <v>12</v>
      </c>
      <c r="H26" s="22" t="s">
        <v>32</v>
      </c>
      <c r="I26" s="30">
        <v>53</v>
      </c>
      <c r="J26" s="35">
        <v>198</v>
      </c>
      <c r="K26" s="30">
        <v>43</v>
      </c>
      <c r="L26" s="35">
        <v>68</v>
      </c>
      <c r="M26" s="30">
        <v>0</v>
      </c>
      <c r="N26" s="31">
        <v>0</v>
      </c>
    </row>
    <row r="27" spans="1:14" x14ac:dyDescent="0.2">
      <c r="A27" s="10" t="s">
        <v>33</v>
      </c>
      <c r="B27">
        <v>0</v>
      </c>
      <c r="C27" s="36">
        <v>0</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DCB8A-6C2E-4E88-8518-1FC58CFEEE0A}">
  <sheetPr codeName="Sheet47"/>
  <dimension ref="A1:N25"/>
  <sheetViews>
    <sheetView workbookViewId="0">
      <selection activeCell="R12" sqref="R12"/>
    </sheetView>
  </sheetViews>
  <sheetFormatPr baseColWidth="10" defaultColWidth="8.83203125" defaultRowHeight="15" x14ac:dyDescent="0.2"/>
  <sheetData>
    <row r="1" spans="1:14" ht="16" thickBot="1" x14ac:dyDescent="0.25">
      <c r="A1" s="512" t="s">
        <v>325</v>
      </c>
      <c r="B1" s="513"/>
      <c r="C1" s="513"/>
      <c r="D1" s="513"/>
      <c r="E1" s="513"/>
      <c r="F1" s="513"/>
      <c r="G1" s="513"/>
      <c r="H1" s="145">
        <v>38</v>
      </c>
      <c r="I1" s="144" t="s">
        <v>310</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21</v>
      </c>
      <c r="D5" s="12" t="s">
        <v>263</v>
      </c>
      <c r="E5" s="165">
        <v>156</v>
      </c>
      <c r="F5" s="12" t="s">
        <v>5</v>
      </c>
      <c r="G5" s="164">
        <v>28</v>
      </c>
      <c r="H5" s="514"/>
      <c r="I5" s="21" t="s">
        <v>5</v>
      </c>
      <c r="J5" s="165">
        <v>324</v>
      </c>
      <c r="K5" s="24" t="s">
        <v>263</v>
      </c>
      <c r="L5" s="165">
        <v>234</v>
      </c>
      <c r="M5" s="24" t="s">
        <v>5</v>
      </c>
      <c r="N5" s="164">
        <v>198</v>
      </c>
    </row>
    <row r="6" spans="1:14" x14ac:dyDescent="0.2">
      <c r="A6" s="516"/>
      <c r="B6" s="10" t="s">
        <v>6</v>
      </c>
      <c r="C6" s="30">
        <v>0</v>
      </c>
      <c r="D6" s="13" t="s">
        <v>5</v>
      </c>
      <c r="E6" s="30">
        <v>115.44</v>
      </c>
      <c r="F6" s="13" t="s">
        <v>6</v>
      </c>
      <c r="G6" s="31">
        <v>0</v>
      </c>
      <c r="H6" s="514"/>
      <c r="I6" s="22" t="s">
        <v>6</v>
      </c>
      <c r="J6" s="30">
        <v>221</v>
      </c>
      <c r="K6" s="25" t="s">
        <v>329</v>
      </c>
      <c r="L6" s="30">
        <v>234</v>
      </c>
      <c r="M6" s="25" t="s">
        <v>6</v>
      </c>
      <c r="N6" s="31">
        <v>68</v>
      </c>
    </row>
    <row r="7" spans="1:14" ht="16" thickBot="1" x14ac:dyDescent="0.25">
      <c r="A7" s="516"/>
      <c r="B7" s="11" t="s">
        <v>7</v>
      </c>
      <c r="C7" s="4" t="s">
        <v>197</v>
      </c>
      <c r="D7" s="14" t="s">
        <v>7</v>
      </c>
      <c r="E7" s="4">
        <v>40.56</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38</v>
      </c>
      <c r="H9" s="514"/>
      <c r="I9" s="532" t="s">
        <v>8</v>
      </c>
      <c r="J9" s="533"/>
      <c r="K9" s="533" t="s">
        <v>10</v>
      </c>
      <c r="L9" s="533"/>
      <c r="M9" s="21" t="s">
        <v>17</v>
      </c>
      <c r="N9" s="2">
        <v>38</v>
      </c>
    </row>
    <row r="10" spans="1:14" x14ac:dyDescent="0.2">
      <c r="A10" s="516"/>
      <c r="B10" s="10" t="s">
        <v>5</v>
      </c>
      <c r="C10">
        <v>48</v>
      </c>
      <c r="D10" s="13" t="s">
        <v>5</v>
      </c>
      <c r="E10">
        <v>10</v>
      </c>
      <c r="F10" s="10" t="s">
        <v>18</v>
      </c>
      <c r="G10" s="31">
        <v>5</v>
      </c>
      <c r="H10" s="514"/>
      <c r="I10" s="22" t="s">
        <v>5</v>
      </c>
      <c r="J10">
        <v>53</v>
      </c>
      <c r="K10" s="25" t="s">
        <v>5</v>
      </c>
      <c r="L10">
        <v>48</v>
      </c>
      <c r="M10" s="22" t="s">
        <v>18</v>
      </c>
      <c r="N10" s="31">
        <v>5</v>
      </c>
    </row>
    <row r="11" spans="1:14" x14ac:dyDescent="0.2">
      <c r="A11" s="516"/>
      <c r="B11" s="10" t="s">
        <v>6</v>
      </c>
      <c r="C11" s="30">
        <v>38</v>
      </c>
      <c r="D11" s="13" t="s">
        <v>6</v>
      </c>
      <c r="E11" s="30">
        <v>0</v>
      </c>
      <c r="F11" s="10" t="s">
        <v>354</v>
      </c>
      <c r="G11" s="164">
        <v>7</v>
      </c>
      <c r="H11" s="514"/>
      <c r="I11" s="22" t="s">
        <v>6</v>
      </c>
      <c r="J11" s="30">
        <v>43</v>
      </c>
      <c r="K11" s="25" t="s">
        <v>6</v>
      </c>
      <c r="L11" s="30">
        <v>40</v>
      </c>
      <c r="M11" s="22" t="s">
        <v>19</v>
      </c>
      <c r="N11" s="164">
        <v>10</v>
      </c>
    </row>
    <row r="12" spans="1:14" ht="16" thickBot="1" x14ac:dyDescent="0.25">
      <c r="A12" s="516"/>
      <c r="B12" s="11" t="s">
        <v>7</v>
      </c>
      <c r="C12" s="4">
        <v>1</v>
      </c>
      <c r="D12" s="14" t="s">
        <v>7</v>
      </c>
      <c r="E12" s="4">
        <v>1</v>
      </c>
      <c r="F12" s="11" t="s">
        <v>353</v>
      </c>
      <c r="G12" s="33">
        <v>10</v>
      </c>
      <c r="H12" s="514"/>
      <c r="I12" s="23" t="s">
        <v>7</v>
      </c>
      <c r="J12" s="4">
        <v>0</v>
      </c>
      <c r="K12" s="26" t="s">
        <v>7</v>
      </c>
      <c r="L12" s="4">
        <v>0</v>
      </c>
      <c r="M12" s="23" t="s">
        <v>20</v>
      </c>
      <c r="N12" s="33">
        <v>2</v>
      </c>
    </row>
    <row r="13" spans="1:14" ht="16" thickBot="1" x14ac:dyDescent="0.25">
      <c r="A13" s="516"/>
      <c r="B13" s="520" t="s">
        <v>0</v>
      </c>
      <c r="C13" s="521"/>
      <c r="D13" s="139" t="s">
        <v>267</v>
      </c>
      <c r="E13" s="135">
        <v>14</v>
      </c>
      <c r="F13" s="139" t="s">
        <v>268</v>
      </c>
      <c r="G13" s="134">
        <v>12</v>
      </c>
      <c r="H13" s="514"/>
      <c r="I13" s="523" t="s">
        <v>0</v>
      </c>
      <c r="J13" s="524"/>
      <c r="K13" s="133" t="s">
        <v>267</v>
      </c>
      <c r="L13" s="135">
        <v>12</v>
      </c>
      <c r="M13" s="133" t="s">
        <v>268</v>
      </c>
      <c r="N13" s="134">
        <v>12</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17</v>
      </c>
      <c r="C16" s="30">
        <v>6</v>
      </c>
      <c r="D16">
        <v>0</v>
      </c>
      <c r="E16" s="30">
        <v>2</v>
      </c>
      <c r="F16">
        <v>0</v>
      </c>
      <c r="G16" s="31">
        <v>8</v>
      </c>
      <c r="H16" s="514"/>
      <c r="I16" s="1">
        <v>24</v>
      </c>
      <c r="J16" s="30">
        <v>8</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156</v>
      </c>
      <c r="C19" s="30">
        <v>47</v>
      </c>
      <c r="D19">
        <v>0</v>
      </c>
      <c r="E19" s="30">
        <v>0</v>
      </c>
      <c r="F19">
        <v>0</v>
      </c>
      <c r="G19" s="31">
        <v>36</v>
      </c>
      <c r="H19" s="514"/>
      <c r="I19" s="1">
        <v>234</v>
      </c>
      <c r="J19" s="30">
        <v>77</v>
      </c>
      <c r="K19">
        <v>0</v>
      </c>
      <c r="L19" s="30">
        <v>0</v>
      </c>
      <c r="M19">
        <v>0</v>
      </c>
      <c r="N19" s="31">
        <v>25</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c r="E22" s="32"/>
      <c r="F22" s="4"/>
      <c r="G22" s="33">
        <v>32</v>
      </c>
      <c r="H22" s="515"/>
      <c r="I22" s="3"/>
      <c r="J22" s="32"/>
      <c r="K22" s="4">
        <v>4</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302" t="s">
        <v>32</v>
      </c>
      <c r="B25" s="308">
        <v>10</v>
      </c>
      <c r="C25" s="309">
        <v>28</v>
      </c>
      <c r="D25" s="308">
        <v>0</v>
      </c>
      <c r="E25" s="309">
        <v>0</v>
      </c>
      <c r="F25" s="308">
        <v>1</v>
      </c>
      <c r="G25" s="310">
        <v>12</v>
      </c>
      <c r="H25" s="306" t="s">
        <v>32</v>
      </c>
      <c r="I25" s="308">
        <v>53</v>
      </c>
      <c r="J25" s="309">
        <v>198</v>
      </c>
      <c r="K25" s="308">
        <v>43</v>
      </c>
      <c r="L25" s="309">
        <v>68</v>
      </c>
      <c r="M25" s="308">
        <v>0</v>
      </c>
      <c r="N25" s="310">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51481-0923-45F6-8AAB-3B79E19F38D4}">
  <sheetPr codeName="Sheet48"/>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37</v>
      </c>
      <c r="I1" s="144" t="s">
        <v>309</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8</v>
      </c>
      <c r="D5" s="12" t="s">
        <v>263</v>
      </c>
      <c r="E5" s="165">
        <v>299</v>
      </c>
      <c r="F5" s="12" t="s">
        <v>5</v>
      </c>
      <c r="G5" s="164">
        <v>10</v>
      </c>
      <c r="H5" s="514"/>
      <c r="I5" s="21" t="s">
        <v>5</v>
      </c>
      <c r="J5" s="165">
        <v>459</v>
      </c>
      <c r="K5" s="24" t="s">
        <v>263</v>
      </c>
      <c r="L5" s="165">
        <v>321</v>
      </c>
      <c r="M5" s="24" t="s">
        <v>5</v>
      </c>
      <c r="N5" s="164">
        <v>582</v>
      </c>
    </row>
    <row r="6" spans="1:14" x14ac:dyDescent="0.2">
      <c r="A6" s="516"/>
      <c r="B6" s="10" t="s">
        <v>6</v>
      </c>
      <c r="C6" s="30">
        <v>0</v>
      </c>
      <c r="D6" s="13" t="s">
        <v>5</v>
      </c>
      <c r="E6" s="30">
        <v>299</v>
      </c>
      <c r="F6" s="13" t="s">
        <v>6</v>
      </c>
      <c r="G6" s="31">
        <v>0</v>
      </c>
      <c r="H6" s="514"/>
      <c r="I6" s="22" t="s">
        <v>6</v>
      </c>
      <c r="J6" s="30">
        <v>402</v>
      </c>
      <c r="K6" s="25" t="s">
        <v>329</v>
      </c>
      <c r="L6" s="30">
        <v>321</v>
      </c>
      <c r="M6" s="25" t="s">
        <v>6</v>
      </c>
      <c r="N6" s="31">
        <v>513</v>
      </c>
    </row>
    <row r="7" spans="1:14" ht="16" thickBot="1" x14ac:dyDescent="0.25">
      <c r="A7" s="516"/>
      <c r="B7" s="11" t="s">
        <v>7</v>
      </c>
      <c r="C7" s="4" t="s">
        <v>197</v>
      </c>
      <c r="D7" s="14" t="s">
        <v>7</v>
      </c>
      <c r="E7" s="4">
        <v>0</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37</v>
      </c>
      <c r="H9" s="514"/>
      <c r="I9" s="532" t="s">
        <v>8</v>
      </c>
      <c r="J9" s="533"/>
      <c r="K9" s="533" t="s">
        <v>10</v>
      </c>
      <c r="L9" s="533"/>
      <c r="M9" s="21" t="s">
        <v>17</v>
      </c>
      <c r="N9" s="2">
        <v>36</v>
      </c>
    </row>
    <row r="10" spans="1:14" x14ac:dyDescent="0.2">
      <c r="A10" s="516"/>
      <c r="B10" s="10" t="s">
        <v>5</v>
      </c>
      <c r="C10">
        <v>40</v>
      </c>
      <c r="D10" s="13" t="s">
        <v>5</v>
      </c>
      <c r="E10">
        <v>2</v>
      </c>
      <c r="F10" s="10" t="s">
        <v>18</v>
      </c>
      <c r="G10" s="31">
        <v>5</v>
      </c>
      <c r="H10" s="514"/>
      <c r="I10" s="22" t="s">
        <v>5</v>
      </c>
      <c r="J10">
        <v>83</v>
      </c>
      <c r="K10" s="25" t="s">
        <v>5</v>
      </c>
      <c r="L10">
        <v>40</v>
      </c>
      <c r="M10" s="22" t="s">
        <v>18</v>
      </c>
      <c r="N10" s="31">
        <v>5</v>
      </c>
    </row>
    <row r="11" spans="1:14" x14ac:dyDescent="0.2">
      <c r="A11" s="516"/>
      <c r="B11" s="10" t="s">
        <v>6</v>
      </c>
      <c r="C11" s="30">
        <v>38</v>
      </c>
      <c r="D11" s="13" t="s">
        <v>6</v>
      </c>
      <c r="E11" s="30">
        <v>0</v>
      </c>
      <c r="F11" s="10" t="s">
        <v>354</v>
      </c>
      <c r="G11" s="164">
        <v>13</v>
      </c>
      <c r="H11" s="514"/>
      <c r="I11" s="22" t="s">
        <v>6</v>
      </c>
      <c r="J11" s="30">
        <v>67</v>
      </c>
      <c r="K11" s="25" t="s">
        <v>6</v>
      </c>
      <c r="L11" s="30">
        <v>35</v>
      </c>
      <c r="M11" s="22" t="s">
        <v>19</v>
      </c>
      <c r="N11" s="164">
        <v>13</v>
      </c>
    </row>
    <row r="12" spans="1:14" ht="16" thickBot="1" x14ac:dyDescent="0.25">
      <c r="A12" s="516"/>
      <c r="B12" s="11" t="s">
        <v>7</v>
      </c>
      <c r="C12" s="4">
        <v>0</v>
      </c>
      <c r="D12" s="14" t="s">
        <v>7</v>
      </c>
      <c r="E12" s="4">
        <v>0</v>
      </c>
      <c r="F12" s="11" t="s">
        <v>353</v>
      </c>
      <c r="G12" s="33">
        <v>3</v>
      </c>
      <c r="H12" s="514"/>
      <c r="I12" s="23" t="s">
        <v>7</v>
      </c>
      <c r="J12" s="4">
        <v>0</v>
      </c>
      <c r="K12" s="26" t="s">
        <v>7</v>
      </c>
      <c r="L12" s="4">
        <v>0</v>
      </c>
      <c r="M12" s="23" t="s">
        <v>20</v>
      </c>
      <c r="N12" s="33">
        <v>2</v>
      </c>
    </row>
    <row r="13" spans="1:14" ht="16" thickBot="1" x14ac:dyDescent="0.25">
      <c r="A13" s="516"/>
      <c r="B13" s="520" t="s">
        <v>0</v>
      </c>
      <c r="C13" s="521"/>
      <c r="D13" s="139" t="s">
        <v>267</v>
      </c>
      <c r="E13" s="135">
        <v>9</v>
      </c>
      <c r="F13" s="139" t="s">
        <v>268</v>
      </c>
      <c r="G13" s="134">
        <v>4</v>
      </c>
      <c r="H13" s="514"/>
      <c r="I13" s="523" t="s">
        <v>0</v>
      </c>
      <c r="J13" s="524"/>
      <c r="K13" s="133" t="s">
        <v>267</v>
      </c>
      <c r="L13" s="135">
        <v>12</v>
      </c>
      <c r="M13" s="133" t="s">
        <v>268</v>
      </c>
      <c r="N13" s="134">
        <v>12</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24</v>
      </c>
      <c r="C16" s="30">
        <v>6</v>
      </c>
      <c r="D16">
        <v>0</v>
      </c>
      <c r="E16" s="30">
        <v>2</v>
      </c>
      <c r="F16">
        <v>0</v>
      </c>
      <c r="G16" s="31">
        <v>3</v>
      </c>
      <c r="H16" s="514"/>
      <c r="I16" s="1">
        <v>24</v>
      </c>
      <c r="J16" s="30">
        <v>6</v>
      </c>
      <c r="K16">
        <v>0</v>
      </c>
      <c r="L16" s="30">
        <v>2</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299</v>
      </c>
      <c r="C19" s="30">
        <v>77</v>
      </c>
      <c r="D19">
        <v>0</v>
      </c>
      <c r="E19" s="30">
        <v>24</v>
      </c>
      <c r="F19">
        <v>0</v>
      </c>
      <c r="G19" s="31">
        <v>41</v>
      </c>
      <c r="H19" s="514"/>
      <c r="I19" s="1">
        <v>321</v>
      </c>
      <c r="J19" s="30">
        <v>74</v>
      </c>
      <c r="K19">
        <v>0</v>
      </c>
      <c r="L19" s="30">
        <v>32</v>
      </c>
      <c r="M19">
        <v>0</v>
      </c>
      <c r="N19" s="31">
        <v>35</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v>1</v>
      </c>
      <c r="D22" s="4"/>
      <c r="E22" s="32"/>
      <c r="F22" s="4">
        <v>4</v>
      </c>
      <c r="G22" s="33"/>
      <c r="H22" s="515"/>
      <c r="I22" s="3"/>
      <c r="J22" s="32"/>
      <c r="K22" s="4">
        <v>3</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2</v>
      </c>
      <c r="C26" s="35">
        <v>10</v>
      </c>
      <c r="D26" s="30">
        <v>0</v>
      </c>
      <c r="E26" s="35">
        <v>0</v>
      </c>
      <c r="F26" s="30">
        <v>0</v>
      </c>
      <c r="G26" s="31">
        <v>0</v>
      </c>
      <c r="H26" s="22" t="s">
        <v>32</v>
      </c>
      <c r="I26" s="30">
        <v>83</v>
      </c>
      <c r="J26" s="35">
        <v>582</v>
      </c>
      <c r="K26" s="30">
        <v>67</v>
      </c>
      <c r="L26" s="35">
        <v>513</v>
      </c>
      <c r="M26" s="30">
        <v>0</v>
      </c>
      <c r="N26" s="31">
        <v>0</v>
      </c>
    </row>
    <row r="27" spans="1:14" x14ac:dyDescent="0.2">
      <c r="A27" s="10" t="s">
        <v>33</v>
      </c>
      <c r="B27">
        <v>0</v>
      </c>
      <c r="C27" s="36">
        <v>0</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45699-FCED-4A5A-9696-FE070D0612E3}">
  <sheetPr codeName="Sheet49"/>
  <dimension ref="A1:N25"/>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37</v>
      </c>
      <c r="I1" s="144" t="s">
        <v>309</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8</v>
      </c>
      <c r="D5" s="12" t="s">
        <v>263</v>
      </c>
      <c r="E5" s="165">
        <v>299</v>
      </c>
      <c r="F5" s="12" t="s">
        <v>5</v>
      </c>
      <c r="G5" s="164">
        <v>10</v>
      </c>
      <c r="H5" s="514"/>
      <c r="I5" s="21" t="s">
        <v>5</v>
      </c>
      <c r="J5" s="165">
        <v>459</v>
      </c>
      <c r="K5" s="24" t="s">
        <v>263</v>
      </c>
      <c r="L5" s="165">
        <v>321</v>
      </c>
      <c r="M5" s="24" t="s">
        <v>5</v>
      </c>
      <c r="N5" s="164">
        <v>582</v>
      </c>
    </row>
    <row r="6" spans="1:14" x14ac:dyDescent="0.2">
      <c r="A6" s="516"/>
      <c r="B6" s="10" t="s">
        <v>6</v>
      </c>
      <c r="C6" s="30">
        <v>0</v>
      </c>
      <c r="D6" s="13" t="s">
        <v>5</v>
      </c>
      <c r="E6" s="30">
        <v>299</v>
      </c>
      <c r="F6" s="13" t="s">
        <v>6</v>
      </c>
      <c r="G6" s="31">
        <v>0</v>
      </c>
      <c r="H6" s="514"/>
      <c r="I6" s="22" t="s">
        <v>6</v>
      </c>
      <c r="J6" s="30">
        <v>402</v>
      </c>
      <c r="K6" s="25" t="s">
        <v>329</v>
      </c>
      <c r="L6" s="30">
        <v>321</v>
      </c>
      <c r="M6" s="25" t="s">
        <v>6</v>
      </c>
      <c r="N6" s="31">
        <v>513</v>
      </c>
    </row>
    <row r="7" spans="1:14" ht="16" thickBot="1" x14ac:dyDescent="0.25">
      <c r="A7" s="516"/>
      <c r="B7" s="11" t="s">
        <v>7</v>
      </c>
      <c r="C7" s="4" t="s">
        <v>197</v>
      </c>
      <c r="D7" s="14" t="s">
        <v>7</v>
      </c>
      <c r="E7" s="4">
        <v>0</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37</v>
      </c>
      <c r="H9" s="514"/>
      <c r="I9" s="532" t="s">
        <v>8</v>
      </c>
      <c r="J9" s="533"/>
      <c r="K9" s="533" t="s">
        <v>10</v>
      </c>
      <c r="L9" s="533"/>
      <c r="M9" s="21" t="s">
        <v>17</v>
      </c>
      <c r="N9" s="2">
        <v>36</v>
      </c>
    </row>
    <row r="10" spans="1:14" x14ac:dyDescent="0.2">
      <c r="A10" s="516"/>
      <c r="B10" s="10" t="s">
        <v>5</v>
      </c>
      <c r="C10">
        <v>40</v>
      </c>
      <c r="D10" s="13" t="s">
        <v>5</v>
      </c>
      <c r="E10">
        <v>2</v>
      </c>
      <c r="F10" s="10" t="s">
        <v>18</v>
      </c>
      <c r="G10" s="31">
        <v>5</v>
      </c>
      <c r="H10" s="514"/>
      <c r="I10" s="22" t="s">
        <v>5</v>
      </c>
      <c r="J10">
        <v>83</v>
      </c>
      <c r="K10" s="25" t="s">
        <v>5</v>
      </c>
      <c r="L10">
        <v>40</v>
      </c>
      <c r="M10" s="22" t="s">
        <v>18</v>
      </c>
      <c r="N10" s="31">
        <v>5</v>
      </c>
    </row>
    <row r="11" spans="1:14" x14ac:dyDescent="0.2">
      <c r="A11" s="516"/>
      <c r="B11" s="10" t="s">
        <v>6</v>
      </c>
      <c r="C11" s="30">
        <v>38</v>
      </c>
      <c r="D11" s="13" t="s">
        <v>6</v>
      </c>
      <c r="E11" s="30">
        <v>0</v>
      </c>
      <c r="F11" s="10" t="s">
        <v>354</v>
      </c>
      <c r="G11" s="164">
        <v>13</v>
      </c>
      <c r="H11" s="514"/>
      <c r="I11" s="22" t="s">
        <v>6</v>
      </c>
      <c r="J11" s="30">
        <v>67</v>
      </c>
      <c r="K11" s="25" t="s">
        <v>6</v>
      </c>
      <c r="L11" s="30">
        <v>35</v>
      </c>
      <c r="M11" s="22" t="s">
        <v>19</v>
      </c>
      <c r="N11" s="164">
        <v>13</v>
      </c>
    </row>
    <row r="12" spans="1:14" ht="16" thickBot="1" x14ac:dyDescent="0.25">
      <c r="A12" s="516"/>
      <c r="B12" s="11" t="s">
        <v>7</v>
      </c>
      <c r="C12" s="4">
        <v>0</v>
      </c>
      <c r="D12" s="14" t="s">
        <v>7</v>
      </c>
      <c r="E12" s="4">
        <v>0</v>
      </c>
      <c r="F12" s="11" t="s">
        <v>353</v>
      </c>
      <c r="G12" s="33">
        <v>3</v>
      </c>
      <c r="H12" s="514"/>
      <c r="I12" s="23" t="s">
        <v>7</v>
      </c>
      <c r="J12" s="4">
        <v>0</v>
      </c>
      <c r="K12" s="26" t="s">
        <v>7</v>
      </c>
      <c r="L12" s="4">
        <v>0</v>
      </c>
      <c r="M12" s="23" t="s">
        <v>20</v>
      </c>
      <c r="N12" s="33">
        <v>2</v>
      </c>
    </row>
    <row r="13" spans="1:14" ht="16" thickBot="1" x14ac:dyDescent="0.25">
      <c r="A13" s="516"/>
      <c r="B13" s="520" t="s">
        <v>0</v>
      </c>
      <c r="C13" s="521"/>
      <c r="D13" s="139" t="s">
        <v>267</v>
      </c>
      <c r="E13" s="135">
        <v>9</v>
      </c>
      <c r="F13" s="139" t="s">
        <v>268</v>
      </c>
      <c r="G13" s="134">
        <v>4</v>
      </c>
      <c r="H13" s="514"/>
      <c r="I13" s="523" t="s">
        <v>0</v>
      </c>
      <c r="J13" s="524"/>
      <c r="K13" s="133" t="s">
        <v>267</v>
      </c>
      <c r="L13" s="135">
        <v>12</v>
      </c>
      <c r="M13" s="133" t="s">
        <v>268</v>
      </c>
      <c r="N13" s="134">
        <v>12</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24</v>
      </c>
      <c r="C16" s="30">
        <v>6</v>
      </c>
      <c r="D16">
        <v>0</v>
      </c>
      <c r="E16" s="30">
        <v>2</v>
      </c>
      <c r="F16">
        <v>0</v>
      </c>
      <c r="G16" s="31">
        <v>3</v>
      </c>
      <c r="H16" s="514"/>
      <c r="I16" s="1">
        <v>24</v>
      </c>
      <c r="J16" s="30">
        <v>6</v>
      </c>
      <c r="K16">
        <v>0</v>
      </c>
      <c r="L16" s="30">
        <v>2</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299</v>
      </c>
      <c r="C19" s="30">
        <v>77</v>
      </c>
      <c r="D19">
        <v>0</v>
      </c>
      <c r="E19" s="30">
        <v>24</v>
      </c>
      <c r="F19">
        <v>0</v>
      </c>
      <c r="G19" s="31">
        <v>41</v>
      </c>
      <c r="H19" s="514"/>
      <c r="I19" s="1">
        <v>321</v>
      </c>
      <c r="J19" s="30">
        <v>74</v>
      </c>
      <c r="K19">
        <v>0</v>
      </c>
      <c r="L19" s="30">
        <v>32</v>
      </c>
      <c r="M19">
        <v>0</v>
      </c>
      <c r="N19" s="31">
        <v>35</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v>1</v>
      </c>
      <c r="D22" s="4"/>
      <c r="E22" s="32"/>
      <c r="F22" s="4">
        <v>4</v>
      </c>
      <c r="G22" s="33"/>
      <c r="H22" s="515"/>
      <c r="I22" s="3"/>
      <c r="J22" s="32"/>
      <c r="K22" s="4">
        <v>3</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302" t="s">
        <v>32</v>
      </c>
      <c r="B25" s="308">
        <v>2</v>
      </c>
      <c r="C25" s="309">
        <v>10</v>
      </c>
      <c r="D25" s="308">
        <v>0</v>
      </c>
      <c r="E25" s="309">
        <v>0</v>
      </c>
      <c r="F25" s="308">
        <v>0</v>
      </c>
      <c r="G25" s="310">
        <v>0</v>
      </c>
      <c r="H25" s="306" t="s">
        <v>32</v>
      </c>
      <c r="I25" s="308">
        <v>83</v>
      </c>
      <c r="J25" s="309">
        <v>582</v>
      </c>
      <c r="K25" s="308">
        <v>67</v>
      </c>
      <c r="L25" s="309">
        <v>513</v>
      </c>
      <c r="M25" s="308">
        <v>0</v>
      </c>
      <c r="N25" s="310">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C4F6A-46C6-46B6-82B5-4C944ACDDC82}">
  <sheetPr codeName="Sheet50"/>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36</v>
      </c>
      <c r="I1" s="144" t="s">
        <v>308</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0</v>
      </c>
      <c r="D5" s="12" t="s">
        <v>263</v>
      </c>
      <c r="E5" s="165">
        <v>228</v>
      </c>
      <c r="F5" s="12" t="s">
        <v>5</v>
      </c>
      <c r="G5" s="164">
        <v>34</v>
      </c>
      <c r="H5" s="514"/>
      <c r="I5" s="21" t="s">
        <v>5</v>
      </c>
      <c r="J5" s="165">
        <v>144</v>
      </c>
      <c r="K5" s="24" t="s">
        <v>263</v>
      </c>
      <c r="L5" s="165">
        <v>130</v>
      </c>
      <c r="M5" s="24" t="s">
        <v>5</v>
      </c>
      <c r="N5" s="164">
        <v>134</v>
      </c>
    </row>
    <row r="6" spans="1:14" x14ac:dyDescent="0.2">
      <c r="A6" s="516"/>
      <c r="B6" s="10" t="s">
        <v>6</v>
      </c>
      <c r="C6" s="30">
        <v>0</v>
      </c>
      <c r="D6" s="13" t="s">
        <v>5</v>
      </c>
      <c r="E6" s="30">
        <v>228</v>
      </c>
      <c r="F6" s="13" t="s">
        <v>6</v>
      </c>
      <c r="G6" s="31">
        <v>0</v>
      </c>
      <c r="H6" s="514"/>
      <c r="I6" s="22" t="s">
        <v>6</v>
      </c>
      <c r="J6" s="30">
        <v>60</v>
      </c>
      <c r="K6" s="25" t="s">
        <v>329</v>
      </c>
      <c r="L6" s="30">
        <v>130</v>
      </c>
      <c r="M6" s="25" t="s">
        <v>6</v>
      </c>
      <c r="N6" s="31">
        <v>51</v>
      </c>
    </row>
    <row r="7" spans="1:14" ht="16" thickBot="1" x14ac:dyDescent="0.25">
      <c r="A7" s="516"/>
      <c r="B7" s="11" t="s">
        <v>7</v>
      </c>
      <c r="C7" s="4" t="s">
        <v>197</v>
      </c>
      <c r="D7" s="14" t="s">
        <v>7</v>
      </c>
      <c r="E7" s="4">
        <v>0</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36</v>
      </c>
      <c r="H9" s="514"/>
      <c r="I9" s="532" t="s">
        <v>8</v>
      </c>
      <c r="J9" s="533"/>
      <c r="K9" s="533" t="s">
        <v>10</v>
      </c>
      <c r="L9" s="533"/>
      <c r="M9" s="21" t="s">
        <v>17</v>
      </c>
      <c r="N9" s="2">
        <v>36</v>
      </c>
    </row>
    <row r="10" spans="1:14" x14ac:dyDescent="0.2">
      <c r="A10" s="516"/>
      <c r="B10" s="10" t="s">
        <v>5</v>
      </c>
      <c r="C10">
        <v>46</v>
      </c>
      <c r="D10" s="13" t="s">
        <v>5</v>
      </c>
      <c r="E10">
        <v>8</v>
      </c>
      <c r="F10" s="10" t="s">
        <v>18</v>
      </c>
      <c r="G10" s="31">
        <v>4</v>
      </c>
      <c r="H10" s="514"/>
      <c r="I10" s="22" t="s">
        <v>5</v>
      </c>
      <c r="J10">
        <v>36</v>
      </c>
      <c r="K10" s="25" t="s">
        <v>5</v>
      </c>
      <c r="L10">
        <v>36</v>
      </c>
      <c r="M10" s="22" t="s">
        <v>18</v>
      </c>
      <c r="N10" s="31">
        <v>4</v>
      </c>
    </row>
    <row r="11" spans="1:14" x14ac:dyDescent="0.2">
      <c r="A11" s="516"/>
      <c r="B11" s="10" t="s">
        <v>6</v>
      </c>
      <c r="C11" s="30">
        <v>38</v>
      </c>
      <c r="D11" s="13" t="s">
        <v>6</v>
      </c>
      <c r="E11" s="30">
        <v>0</v>
      </c>
      <c r="F11" s="10" t="s">
        <v>354</v>
      </c>
      <c r="G11" s="164">
        <v>11</v>
      </c>
      <c r="H11" s="514"/>
      <c r="I11" s="22" t="s">
        <v>6</v>
      </c>
      <c r="J11" s="30">
        <v>15</v>
      </c>
      <c r="K11" s="25" t="s">
        <v>6</v>
      </c>
      <c r="L11" s="30">
        <v>15</v>
      </c>
      <c r="M11" s="22" t="s">
        <v>19</v>
      </c>
      <c r="N11" s="164">
        <v>6</v>
      </c>
    </row>
    <row r="12" spans="1:14" ht="16" thickBot="1" x14ac:dyDescent="0.25">
      <c r="A12" s="516"/>
      <c r="B12" s="11" t="s">
        <v>7</v>
      </c>
      <c r="C12" s="4">
        <v>0</v>
      </c>
      <c r="D12" s="14" t="s">
        <v>7</v>
      </c>
      <c r="E12" s="4">
        <v>0</v>
      </c>
      <c r="F12" s="11" t="s">
        <v>353</v>
      </c>
      <c r="G12" s="33">
        <v>5</v>
      </c>
      <c r="H12" s="514"/>
      <c r="I12" s="23" t="s">
        <v>7</v>
      </c>
      <c r="J12" s="4">
        <v>0</v>
      </c>
      <c r="K12" s="26" t="s">
        <v>7</v>
      </c>
      <c r="L12" s="4">
        <v>0</v>
      </c>
      <c r="M12" s="23" t="s">
        <v>20</v>
      </c>
      <c r="N12" s="33">
        <v>0</v>
      </c>
    </row>
    <row r="13" spans="1:14" ht="16" thickBot="1" x14ac:dyDescent="0.25">
      <c r="A13" s="516"/>
      <c r="B13" s="520" t="s">
        <v>0</v>
      </c>
      <c r="C13" s="521"/>
      <c r="D13" s="139" t="s">
        <v>267</v>
      </c>
      <c r="E13" s="135">
        <v>6</v>
      </c>
      <c r="F13" s="139" t="s">
        <v>268</v>
      </c>
      <c r="G13" s="134">
        <v>6</v>
      </c>
      <c r="H13" s="514"/>
      <c r="I13" s="523" t="s">
        <v>0</v>
      </c>
      <c r="J13" s="524"/>
      <c r="K13" s="133" t="s">
        <v>267</v>
      </c>
      <c r="L13" s="135">
        <v>12</v>
      </c>
      <c r="M13" s="133" t="s">
        <v>268</v>
      </c>
      <c r="N13" s="134">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20</v>
      </c>
      <c r="C16" s="30">
        <v>5</v>
      </c>
      <c r="D16">
        <v>0</v>
      </c>
      <c r="E16" s="30">
        <v>0</v>
      </c>
      <c r="F16">
        <v>0</v>
      </c>
      <c r="G16" s="31">
        <v>3</v>
      </c>
      <c r="H16" s="514"/>
      <c r="I16" s="1">
        <v>20</v>
      </c>
      <c r="J16" s="30">
        <v>5</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228</v>
      </c>
      <c r="C19" s="30">
        <v>55</v>
      </c>
      <c r="D19">
        <v>0</v>
      </c>
      <c r="E19" s="30">
        <v>0</v>
      </c>
      <c r="F19">
        <v>0</v>
      </c>
      <c r="G19" s="31">
        <v>32</v>
      </c>
      <c r="H19" s="514"/>
      <c r="I19" s="1">
        <v>130</v>
      </c>
      <c r="J19" s="30">
        <v>33</v>
      </c>
      <c r="K19">
        <v>0</v>
      </c>
      <c r="L19" s="30">
        <v>0</v>
      </c>
      <c r="M19">
        <v>0</v>
      </c>
      <c r="N19" s="31">
        <v>19</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v>7</v>
      </c>
      <c r="D22" s="4"/>
      <c r="E22" s="32"/>
      <c r="F22" s="4"/>
      <c r="G22" s="33"/>
      <c r="H22" s="515"/>
      <c r="I22" s="3"/>
      <c r="J22" s="32"/>
      <c r="K22" s="4">
        <v>2</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1</v>
      </c>
      <c r="C26" s="35">
        <v>6</v>
      </c>
      <c r="D26" s="30">
        <v>0</v>
      </c>
      <c r="E26" s="35">
        <v>0</v>
      </c>
      <c r="F26" s="30">
        <v>0</v>
      </c>
      <c r="G26" s="31">
        <v>0</v>
      </c>
      <c r="H26" s="22" t="s">
        <v>32</v>
      </c>
      <c r="I26" s="30">
        <v>0</v>
      </c>
      <c r="J26" s="35">
        <v>0</v>
      </c>
      <c r="K26" s="30">
        <v>0</v>
      </c>
      <c r="L26" s="35">
        <v>0</v>
      </c>
      <c r="M26" s="30">
        <v>0</v>
      </c>
      <c r="N26" s="31">
        <v>0</v>
      </c>
    </row>
    <row r="27" spans="1:14" x14ac:dyDescent="0.2">
      <c r="A27" s="10" t="s">
        <v>33</v>
      </c>
      <c r="B27">
        <v>7</v>
      </c>
      <c r="C27" s="36">
        <v>28</v>
      </c>
      <c r="D27">
        <v>0</v>
      </c>
      <c r="E27" s="36">
        <v>0</v>
      </c>
      <c r="F27">
        <v>0</v>
      </c>
      <c r="G27" s="2">
        <v>0</v>
      </c>
      <c r="H27" s="22" t="s">
        <v>33</v>
      </c>
      <c r="I27">
        <v>36</v>
      </c>
      <c r="J27" s="36">
        <v>134</v>
      </c>
      <c r="K27">
        <v>15</v>
      </c>
      <c r="L27" s="36">
        <v>51</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6C2F1-23BB-498F-B9DC-ED457A244F9B}">
  <sheetPr codeName="Sheet51"/>
  <dimension ref="A1:N26"/>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36</v>
      </c>
      <c r="I1" s="144" t="s">
        <v>308</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0</v>
      </c>
      <c r="D5" s="12" t="s">
        <v>263</v>
      </c>
      <c r="E5" s="165">
        <v>228</v>
      </c>
      <c r="F5" s="12" t="s">
        <v>5</v>
      </c>
      <c r="G5" s="164">
        <v>34</v>
      </c>
      <c r="H5" s="514"/>
      <c r="I5" s="21" t="s">
        <v>5</v>
      </c>
      <c r="J5" s="165">
        <v>144</v>
      </c>
      <c r="K5" s="24" t="s">
        <v>263</v>
      </c>
      <c r="L5" s="165">
        <v>130</v>
      </c>
      <c r="M5" s="24" t="s">
        <v>5</v>
      </c>
      <c r="N5" s="164">
        <v>134</v>
      </c>
    </row>
    <row r="6" spans="1:14" x14ac:dyDescent="0.2">
      <c r="A6" s="516"/>
      <c r="B6" s="10" t="s">
        <v>6</v>
      </c>
      <c r="C6" s="30">
        <v>0</v>
      </c>
      <c r="D6" s="13" t="s">
        <v>5</v>
      </c>
      <c r="E6" s="30">
        <v>228</v>
      </c>
      <c r="F6" s="13" t="s">
        <v>6</v>
      </c>
      <c r="G6" s="31">
        <v>0</v>
      </c>
      <c r="H6" s="514"/>
      <c r="I6" s="22" t="s">
        <v>6</v>
      </c>
      <c r="J6" s="30">
        <v>60</v>
      </c>
      <c r="K6" s="25" t="s">
        <v>329</v>
      </c>
      <c r="L6" s="30">
        <v>130</v>
      </c>
      <c r="M6" s="25" t="s">
        <v>6</v>
      </c>
      <c r="N6" s="31">
        <v>51</v>
      </c>
    </row>
    <row r="7" spans="1:14" ht="16" thickBot="1" x14ac:dyDescent="0.25">
      <c r="A7" s="516"/>
      <c r="B7" s="11" t="s">
        <v>7</v>
      </c>
      <c r="C7" s="4" t="s">
        <v>197</v>
      </c>
      <c r="D7" s="14" t="s">
        <v>7</v>
      </c>
      <c r="E7" s="4">
        <v>0</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36</v>
      </c>
      <c r="H9" s="514"/>
      <c r="I9" s="532" t="s">
        <v>8</v>
      </c>
      <c r="J9" s="533"/>
      <c r="K9" s="533" t="s">
        <v>10</v>
      </c>
      <c r="L9" s="533"/>
      <c r="M9" s="21" t="s">
        <v>17</v>
      </c>
      <c r="N9" s="2">
        <v>36</v>
      </c>
    </row>
    <row r="10" spans="1:14" x14ac:dyDescent="0.2">
      <c r="A10" s="516"/>
      <c r="B10" s="10" t="s">
        <v>5</v>
      </c>
      <c r="C10">
        <v>46</v>
      </c>
      <c r="D10" s="13" t="s">
        <v>5</v>
      </c>
      <c r="E10">
        <v>8</v>
      </c>
      <c r="F10" s="10" t="s">
        <v>18</v>
      </c>
      <c r="G10" s="31">
        <v>4</v>
      </c>
      <c r="H10" s="514"/>
      <c r="I10" s="22" t="s">
        <v>5</v>
      </c>
      <c r="J10">
        <v>36</v>
      </c>
      <c r="K10" s="25" t="s">
        <v>5</v>
      </c>
      <c r="L10">
        <v>36</v>
      </c>
      <c r="M10" s="22" t="s">
        <v>18</v>
      </c>
      <c r="N10" s="31">
        <v>4</v>
      </c>
    </row>
    <row r="11" spans="1:14" x14ac:dyDescent="0.2">
      <c r="A11" s="516"/>
      <c r="B11" s="10" t="s">
        <v>6</v>
      </c>
      <c r="C11" s="30">
        <v>38</v>
      </c>
      <c r="D11" s="13" t="s">
        <v>6</v>
      </c>
      <c r="E11" s="30">
        <v>0</v>
      </c>
      <c r="F11" s="10" t="s">
        <v>354</v>
      </c>
      <c r="G11" s="164">
        <v>11</v>
      </c>
      <c r="H11" s="514"/>
      <c r="I11" s="22" t="s">
        <v>6</v>
      </c>
      <c r="J11" s="30">
        <v>15</v>
      </c>
      <c r="K11" s="25" t="s">
        <v>6</v>
      </c>
      <c r="L11" s="30">
        <v>15</v>
      </c>
      <c r="M11" s="22" t="s">
        <v>19</v>
      </c>
      <c r="N11" s="164">
        <v>6</v>
      </c>
    </row>
    <row r="12" spans="1:14" ht="16" thickBot="1" x14ac:dyDescent="0.25">
      <c r="A12" s="516"/>
      <c r="B12" s="11" t="s">
        <v>7</v>
      </c>
      <c r="C12" s="4">
        <v>0</v>
      </c>
      <c r="D12" s="14" t="s">
        <v>7</v>
      </c>
      <c r="E12" s="4">
        <v>0</v>
      </c>
      <c r="F12" s="11" t="s">
        <v>353</v>
      </c>
      <c r="G12" s="33">
        <v>5</v>
      </c>
      <c r="H12" s="514"/>
      <c r="I12" s="23" t="s">
        <v>7</v>
      </c>
      <c r="J12" s="4">
        <v>0</v>
      </c>
      <c r="K12" s="26" t="s">
        <v>7</v>
      </c>
      <c r="L12" s="4">
        <v>0</v>
      </c>
      <c r="M12" s="23" t="s">
        <v>20</v>
      </c>
      <c r="N12" s="33">
        <v>0</v>
      </c>
    </row>
    <row r="13" spans="1:14" ht="16" thickBot="1" x14ac:dyDescent="0.25">
      <c r="A13" s="516"/>
      <c r="B13" s="520" t="s">
        <v>0</v>
      </c>
      <c r="C13" s="521"/>
      <c r="D13" s="139" t="s">
        <v>267</v>
      </c>
      <c r="E13" s="135">
        <v>6</v>
      </c>
      <c r="F13" s="139" t="s">
        <v>268</v>
      </c>
      <c r="G13" s="134">
        <v>6</v>
      </c>
      <c r="H13" s="514"/>
      <c r="I13" s="523" t="s">
        <v>0</v>
      </c>
      <c r="J13" s="524"/>
      <c r="K13" s="133" t="s">
        <v>267</v>
      </c>
      <c r="L13" s="135">
        <v>12</v>
      </c>
      <c r="M13" s="133" t="s">
        <v>268</v>
      </c>
      <c r="N13" s="134">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20</v>
      </c>
      <c r="C16" s="30">
        <v>5</v>
      </c>
      <c r="D16">
        <v>0</v>
      </c>
      <c r="E16" s="30">
        <v>0</v>
      </c>
      <c r="F16">
        <v>0</v>
      </c>
      <c r="G16" s="31">
        <v>3</v>
      </c>
      <c r="H16" s="514"/>
      <c r="I16" s="1">
        <v>20</v>
      </c>
      <c r="J16" s="30">
        <v>5</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228</v>
      </c>
      <c r="C19" s="30">
        <v>55</v>
      </c>
      <c r="D19">
        <v>0</v>
      </c>
      <c r="E19" s="30">
        <v>0</v>
      </c>
      <c r="F19">
        <v>0</v>
      </c>
      <c r="G19" s="31">
        <v>32</v>
      </c>
      <c r="H19" s="514"/>
      <c r="I19" s="1">
        <v>130</v>
      </c>
      <c r="J19" s="30">
        <v>33</v>
      </c>
      <c r="K19">
        <v>0</v>
      </c>
      <c r="L19" s="30">
        <v>0</v>
      </c>
      <c r="M19">
        <v>0</v>
      </c>
      <c r="N19" s="31">
        <v>19</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v>7</v>
      </c>
      <c r="D22" s="4"/>
      <c r="E22" s="32"/>
      <c r="F22" s="4"/>
      <c r="G22" s="33"/>
      <c r="H22" s="515"/>
      <c r="I22" s="3"/>
      <c r="J22" s="32"/>
      <c r="K22" s="4">
        <v>2</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10" t="s">
        <v>32</v>
      </c>
      <c r="B25" s="30">
        <v>1</v>
      </c>
      <c r="C25" s="35">
        <v>6</v>
      </c>
      <c r="D25" s="30">
        <v>0</v>
      </c>
      <c r="E25" s="35">
        <v>0</v>
      </c>
      <c r="F25" s="30">
        <v>0</v>
      </c>
      <c r="G25" s="31">
        <v>0</v>
      </c>
      <c r="H25" s="22" t="s">
        <v>32</v>
      </c>
      <c r="I25" s="30">
        <v>0</v>
      </c>
      <c r="J25" s="35">
        <v>0</v>
      </c>
      <c r="K25" s="30">
        <v>0</v>
      </c>
      <c r="L25" s="35">
        <v>0</v>
      </c>
      <c r="M25" s="30">
        <v>0</v>
      </c>
      <c r="N25" s="31">
        <v>0</v>
      </c>
    </row>
    <row r="26" spans="1:14" x14ac:dyDescent="0.2">
      <c r="A26" s="285" t="s">
        <v>33</v>
      </c>
      <c r="B26" s="169">
        <v>7</v>
      </c>
      <c r="C26" s="170">
        <v>28</v>
      </c>
      <c r="D26" s="169">
        <v>0</v>
      </c>
      <c r="E26" s="170">
        <v>0</v>
      </c>
      <c r="F26" s="169">
        <v>0</v>
      </c>
      <c r="G26" s="171">
        <v>0</v>
      </c>
      <c r="H26" s="279" t="s">
        <v>33</v>
      </c>
      <c r="I26" s="169">
        <v>36</v>
      </c>
      <c r="J26" s="170">
        <v>134</v>
      </c>
      <c r="K26" s="169">
        <v>15</v>
      </c>
      <c r="L26" s="170">
        <v>51</v>
      </c>
      <c r="M26" s="169">
        <v>0</v>
      </c>
      <c r="N26" s="171">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38817-04ED-418F-87D3-A7D73BC3D21E}">
  <sheetPr codeName="Sheet52"/>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35</v>
      </c>
      <c r="I1" s="144" t="s">
        <v>307</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56</v>
      </c>
      <c r="D5" s="12" t="s">
        <v>263</v>
      </c>
      <c r="E5" s="165">
        <v>325</v>
      </c>
      <c r="F5" s="12" t="s">
        <v>5</v>
      </c>
      <c r="G5" s="164">
        <v>48</v>
      </c>
      <c r="H5" s="514"/>
      <c r="I5" s="21" t="s">
        <v>5</v>
      </c>
      <c r="J5" s="165">
        <v>375</v>
      </c>
      <c r="K5" s="24" t="s">
        <v>263</v>
      </c>
      <c r="L5" s="165">
        <v>154</v>
      </c>
      <c r="M5" s="24" t="s">
        <v>5</v>
      </c>
      <c r="N5" s="164">
        <v>185</v>
      </c>
    </row>
    <row r="6" spans="1:14" x14ac:dyDescent="0.2">
      <c r="A6" s="516"/>
      <c r="B6" s="10" t="s">
        <v>6</v>
      </c>
      <c r="C6" s="30">
        <v>0</v>
      </c>
      <c r="D6" s="13" t="s">
        <v>5</v>
      </c>
      <c r="E6" s="30">
        <v>325</v>
      </c>
      <c r="F6" s="13" t="s">
        <v>6</v>
      </c>
      <c r="G6" s="31">
        <v>0</v>
      </c>
      <c r="H6" s="514"/>
      <c r="I6" s="22" t="s">
        <v>6</v>
      </c>
      <c r="J6" s="30">
        <v>322</v>
      </c>
      <c r="K6" s="25" t="s">
        <v>329</v>
      </c>
      <c r="L6" s="30" t="s">
        <v>197</v>
      </c>
      <c r="M6" s="25" t="s">
        <v>6</v>
      </c>
      <c r="N6" s="31">
        <v>165</v>
      </c>
    </row>
    <row r="7" spans="1:14" ht="16" thickBot="1" x14ac:dyDescent="0.25">
      <c r="A7" s="516"/>
      <c r="B7" s="11" t="s">
        <v>7</v>
      </c>
      <c r="C7" s="4" t="s">
        <v>197</v>
      </c>
      <c r="D7" s="14" t="s">
        <v>7</v>
      </c>
      <c r="E7" s="4">
        <v>0</v>
      </c>
      <c r="F7" s="14" t="s">
        <v>7</v>
      </c>
      <c r="G7" s="5">
        <v>0</v>
      </c>
      <c r="H7" s="514"/>
      <c r="I7" s="23" t="s">
        <v>7</v>
      </c>
      <c r="J7" s="4" t="s">
        <v>197</v>
      </c>
      <c r="K7" s="26" t="s">
        <v>7</v>
      </c>
      <c r="L7" s="4" t="s">
        <v>197</v>
      </c>
      <c r="M7" s="26" t="s">
        <v>7</v>
      </c>
      <c r="N7" s="5">
        <v>40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35</v>
      </c>
      <c r="H9" s="514"/>
      <c r="I9" s="532" t="s">
        <v>8</v>
      </c>
      <c r="J9" s="533"/>
      <c r="K9" s="533" t="s">
        <v>10</v>
      </c>
      <c r="L9" s="533"/>
      <c r="M9" s="21" t="s">
        <v>17</v>
      </c>
      <c r="N9" s="2">
        <v>35</v>
      </c>
    </row>
    <row r="10" spans="1:14" x14ac:dyDescent="0.2">
      <c r="A10" s="516"/>
      <c r="B10" s="10" t="s">
        <v>5</v>
      </c>
      <c r="C10">
        <v>50</v>
      </c>
      <c r="D10" s="13" t="s">
        <v>5</v>
      </c>
      <c r="E10">
        <v>12</v>
      </c>
      <c r="F10" s="10" t="s">
        <v>18</v>
      </c>
      <c r="G10" s="31">
        <v>5</v>
      </c>
      <c r="H10" s="514"/>
      <c r="I10" s="22" t="s">
        <v>5</v>
      </c>
      <c r="J10">
        <v>75</v>
      </c>
      <c r="K10" s="25" t="s">
        <v>5</v>
      </c>
      <c r="L10">
        <v>50</v>
      </c>
      <c r="M10" s="22" t="s">
        <v>18</v>
      </c>
      <c r="N10" s="31">
        <v>5</v>
      </c>
    </row>
    <row r="11" spans="1:14" x14ac:dyDescent="0.2">
      <c r="A11" s="516"/>
      <c r="B11" s="10" t="s">
        <v>6</v>
      </c>
      <c r="C11" s="30">
        <v>38</v>
      </c>
      <c r="D11" s="13" t="s">
        <v>6</v>
      </c>
      <c r="E11" s="30">
        <v>0</v>
      </c>
      <c r="F11" s="10" t="s">
        <v>354</v>
      </c>
      <c r="G11" s="164">
        <v>12</v>
      </c>
      <c r="H11" s="514"/>
      <c r="I11" s="22" t="s">
        <v>6</v>
      </c>
      <c r="J11" s="30">
        <v>65</v>
      </c>
      <c r="K11" s="25" t="s">
        <v>6</v>
      </c>
      <c r="L11" s="30">
        <v>50</v>
      </c>
      <c r="M11" s="22" t="s">
        <v>19</v>
      </c>
      <c r="N11" s="164">
        <v>6</v>
      </c>
    </row>
    <row r="12" spans="1:14" ht="16" thickBot="1" x14ac:dyDescent="0.25">
      <c r="A12" s="516"/>
      <c r="B12" s="11" t="s">
        <v>7</v>
      </c>
      <c r="C12" s="4">
        <v>0</v>
      </c>
      <c r="D12" s="14" t="s">
        <v>7</v>
      </c>
      <c r="E12" s="4">
        <v>0</v>
      </c>
      <c r="F12" s="11" t="s">
        <v>353</v>
      </c>
      <c r="G12" s="33">
        <v>4</v>
      </c>
      <c r="H12" s="514"/>
      <c r="I12" s="23" t="s">
        <v>7</v>
      </c>
      <c r="J12" s="4">
        <v>1</v>
      </c>
      <c r="K12" s="26" t="s">
        <v>7</v>
      </c>
      <c r="L12" s="4">
        <v>1</v>
      </c>
      <c r="M12" s="23" t="s">
        <v>20</v>
      </c>
      <c r="N12" s="33">
        <v>0</v>
      </c>
    </row>
    <row r="13" spans="1:14" ht="16" thickBot="1" x14ac:dyDescent="0.25">
      <c r="A13" s="516"/>
      <c r="B13" s="520" t="s">
        <v>0</v>
      </c>
      <c r="C13" s="521"/>
      <c r="D13" s="139" t="s">
        <v>267</v>
      </c>
      <c r="E13" s="135">
        <v>7</v>
      </c>
      <c r="F13" s="139" t="s">
        <v>268</v>
      </c>
      <c r="G13" s="134">
        <v>5</v>
      </c>
      <c r="H13" s="514"/>
      <c r="I13" s="523" t="s">
        <v>0</v>
      </c>
      <c r="J13" s="524"/>
      <c r="K13" s="133" t="s">
        <v>267</v>
      </c>
      <c r="L13" s="135">
        <v>12</v>
      </c>
      <c r="M13" s="133" t="s">
        <v>268</v>
      </c>
      <c r="N13" s="134">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27</v>
      </c>
      <c r="C16" s="30">
        <v>7</v>
      </c>
      <c r="D16">
        <v>0</v>
      </c>
      <c r="E16" s="30">
        <v>0</v>
      </c>
      <c r="F16">
        <v>0</v>
      </c>
      <c r="G16" s="31">
        <v>1</v>
      </c>
      <c r="H16" s="514"/>
      <c r="I16" s="1">
        <v>25</v>
      </c>
      <c r="J16" s="30">
        <v>7</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325</v>
      </c>
      <c r="C19" s="30">
        <v>88</v>
      </c>
      <c r="D19">
        <v>0</v>
      </c>
      <c r="E19" s="30">
        <v>0</v>
      </c>
      <c r="F19">
        <v>0</v>
      </c>
      <c r="G19" s="31">
        <v>14</v>
      </c>
      <c r="H19" s="514"/>
      <c r="I19" s="1">
        <v>154</v>
      </c>
      <c r="J19" s="30">
        <v>42</v>
      </c>
      <c r="K19">
        <v>0</v>
      </c>
      <c r="L19" s="30">
        <v>0</v>
      </c>
      <c r="M19">
        <v>0</v>
      </c>
      <c r="N19" s="31">
        <v>14</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v>2</v>
      </c>
      <c r="D22" s="4"/>
      <c r="E22" s="32"/>
      <c r="F22" s="4">
        <v>3</v>
      </c>
      <c r="G22" s="33"/>
      <c r="H22" s="515"/>
      <c r="I22" s="3"/>
      <c r="J22" s="32"/>
      <c r="K22" s="4">
        <v>1</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0</v>
      </c>
      <c r="C26" s="35">
        <v>0</v>
      </c>
      <c r="D26" s="30">
        <v>0</v>
      </c>
      <c r="E26" s="35">
        <v>0</v>
      </c>
      <c r="F26" s="30">
        <v>0</v>
      </c>
      <c r="G26" s="31">
        <v>0</v>
      </c>
      <c r="H26" s="22" t="s">
        <v>32</v>
      </c>
      <c r="I26" s="30">
        <v>0</v>
      </c>
      <c r="J26" s="35">
        <v>0</v>
      </c>
      <c r="K26" s="30">
        <v>0</v>
      </c>
      <c r="L26" s="35">
        <v>0</v>
      </c>
      <c r="M26" s="30">
        <v>0</v>
      </c>
      <c r="N26" s="31">
        <v>0</v>
      </c>
    </row>
    <row r="27" spans="1:14" x14ac:dyDescent="0.2">
      <c r="A27" s="10" t="s">
        <v>33</v>
      </c>
      <c r="B27">
        <v>12</v>
      </c>
      <c r="C27" s="36">
        <v>48</v>
      </c>
      <c r="D27">
        <v>0</v>
      </c>
      <c r="E27" s="36">
        <v>0</v>
      </c>
      <c r="F27">
        <v>0</v>
      </c>
      <c r="G27" s="2">
        <v>0</v>
      </c>
      <c r="H27" s="22" t="s">
        <v>33</v>
      </c>
      <c r="I27">
        <v>0</v>
      </c>
      <c r="J27" s="36">
        <v>0</v>
      </c>
      <c r="K27">
        <v>0</v>
      </c>
      <c r="L27" s="36">
        <v>0</v>
      </c>
      <c r="M27">
        <v>1</v>
      </c>
      <c r="N27" s="2">
        <v>40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F5991-4526-4C06-8F34-7866CC28853C}">
  <sheetPr codeName="Sheet53"/>
  <dimension ref="A1:N25"/>
  <sheetViews>
    <sheetView workbookViewId="0">
      <selection activeCell="T31" sqref="T31"/>
    </sheetView>
  </sheetViews>
  <sheetFormatPr baseColWidth="10" defaultColWidth="8.83203125" defaultRowHeight="15" x14ac:dyDescent="0.2"/>
  <sheetData>
    <row r="1" spans="1:14" ht="16" thickBot="1" x14ac:dyDescent="0.25">
      <c r="A1" s="512" t="s">
        <v>325</v>
      </c>
      <c r="B1" s="513"/>
      <c r="C1" s="513"/>
      <c r="D1" s="513"/>
      <c r="E1" s="513"/>
      <c r="F1" s="513"/>
      <c r="G1" s="513"/>
      <c r="H1" s="145">
        <v>35</v>
      </c>
      <c r="I1" s="144" t="s">
        <v>307</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56</v>
      </c>
      <c r="D5" s="12" t="s">
        <v>263</v>
      </c>
      <c r="E5" s="165">
        <v>325</v>
      </c>
      <c r="F5" s="12" t="s">
        <v>5</v>
      </c>
      <c r="G5" s="164">
        <v>48</v>
      </c>
      <c r="H5" s="514"/>
      <c r="I5" s="21" t="s">
        <v>5</v>
      </c>
      <c r="J5" s="165">
        <v>375</v>
      </c>
      <c r="K5" s="24" t="s">
        <v>263</v>
      </c>
      <c r="L5" s="165">
        <v>154</v>
      </c>
      <c r="M5" s="24" t="s">
        <v>5</v>
      </c>
      <c r="N5" s="164">
        <v>185</v>
      </c>
    </row>
    <row r="6" spans="1:14" x14ac:dyDescent="0.2">
      <c r="A6" s="516"/>
      <c r="B6" s="10" t="s">
        <v>6</v>
      </c>
      <c r="C6" s="30">
        <v>0</v>
      </c>
      <c r="D6" s="13" t="s">
        <v>5</v>
      </c>
      <c r="E6" s="30">
        <v>325</v>
      </c>
      <c r="F6" s="13" t="s">
        <v>6</v>
      </c>
      <c r="G6" s="31">
        <v>0</v>
      </c>
      <c r="H6" s="514"/>
      <c r="I6" s="22" t="s">
        <v>6</v>
      </c>
      <c r="J6" s="30">
        <v>322</v>
      </c>
      <c r="K6" s="25" t="s">
        <v>329</v>
      </c>
      <c r="L6" s="30" t="s">
        <v>197</v>
      </c>
      <c r="M6" s="25" t="s">
        <v>6</v>
      </c>
      <c r="N6" s="31">
        <v>165</v>
      </c>
    </row>
    <row r="7" spans="1:14" ht="16" thickBot="1" x14ac:dyDescent="0.25">
      <c r="A7" s="516"/>
      <c r="B7" s="11" t="s">
        <v>7</v>
      </c>
      <c r="C7" s="4" t="s">
        <v>197</v>
      </c>
      <c r="D7" s="14" t="s">
        <v>7</v>
      </c>
      <c r="E7" s="4">
        <v>0</v>
      </c>
      <c r="F7" s="14" t="s">
        <v>7</v>
      </c>
      <c r="G7" s="5">
        <v>0</v>
      </c>
      <c r="H7" s="514"/>
      <c r="I7" s="23" t="s">
        <v>7</v>
      </c>
      <c r="J7" s="4" t="s">
        <v>197</v>
      </c>
      <c r="K7" s="26" t="s">
        <v>7</v>
      </c>
      <c r="L7" s="4" t="s">
        <v>197</v>
      </c>
      <c r="M7" s="26" t="s">
        <v>7</v>
      </c>
      <c r="N7" s="5">
        <v>40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35</v>
      </c>
      <c r="H9" s="514"/>
      <c r="I9" s="532" t="s">
        <v>8</v>
      </c>
      <c r="J9" s="533"/>
      <c r="K9" s="533" t="s">
        <v>10</v>
      </c>
      <c r="L9" s="533"/>
      <c r="M9" s="21" t="s">
        <v>17</v>
      </c>
      <c r="N9" s="2">
        <v>35</v>
      </c>
    </row>
    <row r="10" spans="1:14" x14ac:dyDescent="0.2">
      <c r="A10" s="516"/>
      <c r="B10" s="10" t="s">
        <v>5</v>
      </c>
      <c r="C10">
        <v>50</v>
      </c>
      <c r="D10" s="13" t="s">
        <v>5</v>
      </c>
      <c r="E10">
        <v>12</v>
      </c>
      <c r="F10" s="10" t="s">
        <v>18</v>
      </c>
      <c r="G10" s="31">
        <v>5</v>
      </c>
      <c r="H10" s="514"/>
      <c r="I10" s="22" t="s">
        <v>5</v>
      </c>
      <c r="J10">
        <v>75</v>
      </c>
      <c r="K10" s="25" t="s">
        <v>5</v>
      </c>
      <c r="L10">
        <v>50</v>
      </c>
      <c r="M10" s="22" t="s">
        <v>18</v>
      </c>
      <c r="N10" s="31">
        <v>5</v>
      </c>
    </row>
    <row r="11" spans="1:14" x14ac:dyDescent="0.2">
      <c r="A11" s="516"/>
      <c r="B11" s="10" t="s">
        <v>6</v>
      </c>
      <c r="C11" s="30">
        <v>38</v>
      </c>
      <c r="D11" s="13" t="s">
        <v>6</v>
      </c>
      <c r="E11" s="30">
        <v>0</v>
      </c>
      <c r="F11" s="10" t="s">
        <v>354</v>
      </c>
      <c r="G11" s="164">
        <v>12</v>
      </c>
      <c r="H11" s="514"/>
      <c r="I11" s="22" t="s">
        <v>6</v>
      </c>
      <c r="J11" s="30">
        <v>65</v>
      </c>
      <c r="K11" s="25" t="s">
        <v>6</v>
      </c>
      <c r="L11" s="30">
        <v>50</v>
      </c>
      <c r="M11" s="22" t="s">
        <v>19</v>
      </c>
      <c r="N11" s="164">
        <v>6</v>
      </c>
    </row>
    <row r="12" spans="1:14" ht="16" thickBot="1" x14ac:dyDescent="0.25">
      <c r="A12" s="516"/>
      <c r="B12" s="11" t="s">
        <v>7</v>
      </c>
      <c r="C12" s="4">
        <v>0</v>
      </c>
      <c r="D12" s="14" t="s">
        <v>7</v>
      </c>
      <c r="E12" s="4">
        <v>0</v>
      </c>
      <c r="F12" s="11" t="s">
        <v>353</v>
      </c>
      <c r="G12" s="33">
        <v>4</v>
      </c>
      <c r="H12" s="514"/>
      <c r="I12" s="23" t="s">
        <v>7</v>
      </c>
      <c r="J12" s="4">
        <v>1</v>
      </c>
      <c r="K12" s="26" t="s">
        <v>7</v>
      </c>
      <c r="L12" s="4">
        <v>1</v>
      </c>
      <c r="M12" s="23" t="s">
        <v>20</v>
      </c>
      <c r="N12" s="33">
        <v>0</v>
      </c>
    </row>
    <row r="13" spans="1:14" ht="16" thickBot="1" x14ac:dyDescent="0.25">
      <c r="A13" s="516"/>
      <c r="B13" s="520" t="s">
        <v>0</v>
      </c>
      <c r="C13" s="521"/>
      <c r="D13" s="139" t="s">
        <v>267</v>
      </c>
      <c r="E13" s="135">
        <v>7</v>
      </c>
      <c r="F13" s="139" t="s">
        <v>268</v>
      </c>
      <c r="G13" s="134">
        <v>5</v>
      </c>
      <c r="H13" s="514"/>
      <c r="I13" s="523" t="s">
        <v>0</v>
      </c>
      <c r="J13" s="524"/>
      <c r="K13" s="133" t="s">
        <v>267</v>
      </c>
      <c r="L13" s="135">
        <v>12</v>
      </c>
      <c r="M13" s="133" t="s">
        <v>268</v>
      </c>
      <c r="N13" s="134">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27</v>
      </c>
      <c r="C16" s="30">
        <v>7</v>
      </c>
      <c r="D16">
        <v>0</v>
      </c>
      <c r="E16" s="30">
        <v>0</v>
      </c>
      <c r="F16">
        <v>0</v>
      </c>
      <c r="G16" s="31">
        <v>1</v>
      </c>
      <c r="H16" s="514"/>
      <c r="I16" s="1">
        <v>25</v>
      </c>
      <c r="J16" s="30">
        <v>7</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325</v>
      </c>
      <c r="C19" s="30">
        <v>88</v>
      </c>
      <c r="D19">
        <v>0</v>
      </c>
      <c r="E19" s="30">
        <v>0</v>
      </c>
      <c r="F19">
        <v>0</v>
      </c>
      <c r="G19" s="31">
        <v>14</v>
      </c>
      <c r="H19" s="514"/>
      <c r="I19" s="1">
        <v>154</v>
      </c>
      <c r="J19" s="30">
        <v>42</v>
      </c>
      <c r="K19">
        <v>0</v>
      </c>
      <c r="L19" s="30">
        <v>0</v>
      </c>
      <c r="M19">
        <v>0</v>
      </c>
      <c r="N19" s="31">
        <v>14</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v>2</v>
      </c>
      <c r="D22" s="4"/>
      <c r="E22" s="32"/>
      <c r="F22" s="4">
        <v>3</v>
      </c>
      <c r="G22" s="33"/>
      <c r="H22" s="515"/>
      <c r="I22" s="3"/>
      <c r="J22" s="32"/>
      <c r="K22" s="4">
        <v>1</v>
      </c>
      <c r="L22" s="32"/>
      <c r="M22" s="4"/>
      <c r="N22" s="33"/>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302" t="s">
        <v>33</v>
      </c>
      <c r="B25" s="303">
        <v>12</v>
      </c>
      <c r="C25" s="304">
        <v>48</v>
      </c>
      <c r="D25" s="303">
        <v>0</v>
      </c>
      <c r="E25" s="304">
        <v>0</v>
      </c>
      <c r="F25" s="303">
        <v>0</v>
      </c>
      <c r="G25" s="305">
        <v>0</v>
      </c>
      <c r="H25" s="306" t="s">
        <v>33</v>
      </c>
      <c r="I25" s="303">
        <v>0</v>
      </c>
      <c r="J25" s="304">
        <v>0</v>
      </c>
      <c r="K25" s="303">
        <v>0</v>
      </c>
      <c r="L25" s="304">
        <v>0</v>
      </c>
      <c r="M25" s="303">
        <v>1</v>
      </c>
      <c r="N25" s="305">
        <v>40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CB25C-2346-4BF3-AD4E-55722BF598B0}">
  <sheetPr codeName="Sheet1">
    <tabColor theme="4"/>
  </sheetPr>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33</v>
      </c>
      <c r="I1" s="144" t="s">
        <v>305</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66</v>
      </c>
      <c r="D5" s="12" t="s">
        <v>263</v>
      </c>
      <c r="E5" s="165">
        <v>290</v>
      </c>
      <c r="F5" s="12" t="s">
        <v>5</v>
      </c>
      <c r="G5" s="164">
        <v>28</v>
      </c>
      <c r="H5" s="514"/>
      <c r="I5" s="21" t="s">
        <v>5</v>
      </c>
      <c r="J5" s="165">
        <v>21</v>
      </c>
      <c r="K5" s="24" t="s">
        <v>263</v>
      </c>
      <c r="L5" s="165">
        <v>114</v>
      </c>
      <c r="M5" s="24" t="s">
        <v>5</v>
      </c>
      <c r="N5" s="164">
        <v>42</v>
      </c>
    </row>
    <row r="6" spans="1:14" x14ac:dyDescent="0.2">
      <c r="A6" s="516"/>
      <c r="B6" s="10" t="s">
        <v>6</v>
      </c>
      <c r="C6" s="30">
        <v>66</v>
      </c>
      <c r="D6" s="13" t="s">
        <v>5</v>
      </c>
      <c r="E6" s="30">
        <v>275.5</v>
      </c>
      <c r="F6" s="13" t="s">
        <v>6</v>
      </c>
      <c r="G6" s="31">
        <v>28</v>
      </c>
      <c r="H6" s="514"/>
      <c r="I6" s="22" t="s">
        <v>6</v>
      </c>
      <c r="J6" s="30">
        <v>15</v>
      </c>
      <c r="K6" s="25" t="s">
        <v>329</v>
      </c>
      <c r="L6" s="30">
        <v>102.60000000000001</v>
      </c>
      <c r="M6" s="25" t="s">
        <v>6</v>
      </c>
      <c r="N6" s="31">
        <v>24</v>
      </c>
    </row>
    <row r="7" spans="1:14" ht="16" thickBot="1" x14ac:dyDescent="0.25">
      <c r="A7" s="516"/>
      <c r="B7" s="11" t="s">
        <v>7</v>
      </c>
      <c r="C7" s="4" t="s">
        <v>197</v>
      </c>
      <c r="D7" s="14" t="s">
        <v>7</v>
      </c>
      <c r="E7" s="4">
        <v>14.5</v>
      </c>
      <c r="F7" s="14" t="s">
        <v>7</v>
      </c>
      <c r="G7" s="5">
        <v>0</v>
      </c>
      <c r="H7" s="514"/>
      <c r="I7" s="23" t="s">
        <v>7</v>
      </c>
      <c r="J7" s="4" t="s">
        <v>197</v>
      </c>
      <c r="K7" s="26" t="s">
        <v>7</v>
      </c>
      <c r="L7" s="4">
        <v>11.4</v>
      </c>
      <c r="M7" s="26" t="s">
        <v>7</v>
      </c>
      <c r="N7" s="5">
        <v>16</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33</v>
      </c>
      <c r="H9" s="514"/>
      <c r="I9" s="532" t="s">
        <v>8</v>
      </c>
      <c r="J9" s="533"/>
      <c r="K9" s="533" t="s">
        <v>10</v>
      </c>
      <c r="L9" s="533"/>
      <c r="M9" s="21" t="s">
        <v>17</v>
      </c>
      <c r="N9" s="2">
        <v>33</v>
      </c>
    </row>
    <row r="10" spans="1:14" x14ac:dyDescent="0.2">
      <c r="A10" s="516"/>
      <c r="B10" s="10" t="s">
        <v>5</v>
      </c>
      <c r="C10">
        <v>59</v>
      </c>
      <c r="D10" s="13" t="s">
        <v>5</v>
      </c>
      <c r="E10">
        <v>21</v>
      </c>
      <c r="F10" s="10" t="s">
        <v>18</v>
      </c>
      <c r="G10" s="31">
        <v>5</v>
      </c>
      <c r="H10" s="514"/>
      <c r="I10" s="22" t="s">
        <v>5</v>
      </c>
      <c r="J10">
        <v>8</v>
      </c>
      <c r="K10" s="25" t="s">
        <v>5</v>
      </c>
      <c r="L10">
        <v>8</v>
      </c>
      <c r="M10" s="22" t="s">
        <v>18</v>
      </c>
      <c r="N10" s="31">
        <v>5</v>
      </c>
    </row>
    <row r="11" spans="1:14" x14ac:dyDescent="0.2">
      <c r="A11" s="516"/>
      <c r="B11" s="10" t="s">
        <v>6</v>
      </c>
      <c r="C11" s="30">
        <v>38</v>
      </c>
      <c r="D11" s="13" t="s">
        <v>6</v>
      </c>
      <c r="E11" s="30">
        <v>0</v>
      </c>
      <c r="F11" s="10" t="s">
        <v>354</v>
      </c>
      <c r="G11" s="164">
        <v>13</v>
      </c>
      <c r="H11" s="514"/>
      <c r="I11" s="22" t="s">
        <v>6</v>
      </c>
      <c r="J11" s="30">
        <v>6</v>
      </c>
      <c r="K11" s="25" t="s">
        <v>6</v>
      </c>
      <c r="L11" s="30">
        <v>6</v>
      </c>
      <c r="M11" s="22" t="s">
        <v>19</v>
      </c>
      <c r="N11" s="164">
        <v>6</v>
      </c>
    </row>
    <row r="12" spans="1:14" ht="16" thickBot="1" x14ac:dyDescent="0.25">
      <c r="A12" s="516"/>
      <c r="B12" s="11" t="s">
        <v>7</v>
      </c>
      <c r="C12" s="4">
        <v>1</v>
      </c>
      <c r="D12" s="14" t="s">
        <v>7</v>
      </c>
      <c r="E12" s="4">
        <v>1</v>
      </c>
      <c r="F12" s="11" t="s">
        <v>353</v>
      </c>
      <c r="G12" s="33">
        <v>2</v>
      </c>
      <c r="H12" s="514"/>
      <c r="I12" s="23" t="s">
        <v>7</v>
      </c>
      <c r="J12" s="4">
        <v>1</v>
      </c>
      <c r="K12" s="26" t="s">
        <v>7</v>
      </c>
      <c r="L12" s="4">
        <v>1</v>
      </c>
      <c r="M12" s="23" t="s">
        <v>20</v>
      </c>
      <c r="N12" s="33">
        <v>0</v>
      </c>
    </row>
    <row r="13" spans="1:14" ht="16" thickBot="1" x14ac:dyDescent="0.25">
      <c r="A13" s="516"/>
      <c r="B13" s="520" t="s">
        <v>0</v>
      </c>
      <c r="C13" s="521"/>
      <c r="D13" s="139" t="s">
        <v>267</v>
      </c>
      <c r="E13" s="135">
        <v>15</v>
      </c>
      <c r="F13" s="139" t="s">
        <v>268</v>
      </c>
      <c r="G13" s="134">
        <v>9</v>
      </c>
      <c r="H13" s="514"/>
      <c r="I13" s="523" t="s">
        <v>0</v>
      </c>
      <c r="J13" s="524"/>
      <c r="K13" s="133" t="s">
        <v>267</v>
      </c>
      <c r="L13" s="135">
        <v>15</v>
      </c>
      <c r="M13" s="133" t="s">
        <v>268</v>
      </c>
      <c r="N13" s="134">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20</v>
      </c>
      <c r="C16" s="30">
        <v>5</v>
      </c>
      <c r="D16">
        <v>0</v>
      </c>
      <c r="E16" s="30">
        <v>0</v>
      </c>
      <c r="F16">
        <v>0</v>
      </c>
      <c r="G16" s="31">
        <v>3</v>
      </c>
      <c r="H16" s="514"/>
      <c r="I16" s="1">
        <v>20</v>
      </c>
      <c r="J16" s="30">
        <v>5</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290</v>
      </c>
      <c r="C19" s="30">
        <v>71</v>
      </c>
      <c r="D19">
        <v>0</v>
      </c>
      <c r="E19" s="30">
        <v>0</v>
      </c>
      <c r="F19">
        <v>0</v>
      </c>
      <c r="G19" s="31">
        <v>45</v>
      </c>
      <c r="H19" s="514"/>
      <c r="I19" s="1">
        <v>114</v>
      </c>
      <c r="J19" s="30">
        <v>30</v>
      </c>
      <c r="K19">
        <v>0</v>
      </c>
      <c r="L19" s="30">
        <v>0</v>
      </c>
      <c r="M19">
        <v>0</v>
      </c>
      <c r="N19" s="31">
        <v>17</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0</v>
      </c>
      <c r="D22" s="4">
        <v>0</v>
      </c>
      <c r="E22" s="32">
        <v>3</v>
      </c>
      <c r="F22" s="4">
        <v>0</v>
      </c>
      <c r="G22" s="33">
        <v>0</v>
      </c>
      <c r="H22" s="515"/>
      <c r="I22" s="3">
        <v>0</v>
      </c>
      <c r="J22" s="32">
        <v>0</v>
      </c>
      <c r="K22" s="4">
        <v>0</v>
      </c>
      <c r="L22" s="32">
        <v>0</v>
      </c>
      <c r="M22" s="4">
        <v>0</v>
      </c>
      <c r="N22" s="3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1</v>
      </c>
      <c r="G25" s="2">
        <v>8</v>
      </c>
      <c r="H25" s="21" t="s">
        <v>31</v>
      </c>
      <c r="I25">
        <v>0</v>
      </c>
      <c r="J25" s="34">
        <v>0</v>
      </c>
      <c r="K25">
        <v>0</v>
      </c>
      <c r="L25" s="34">
        <v>0</v>
      </c>
      <c r="M25">
        <v>0</v>
      </c>
      <c r="N25" s="2">
        <v>0</v>
      </c>
    </row>
    <row r="26" spans="1:14" x14ac:dyDescent="0.2">
      <c r="A26" s="10" t="s">
        <v>32</v>
      </c>
      <c r="B26" s="30">
        <v>0</v>
      </c>
      <c r="C26" s="35">
        <v>0</v>
      </c>
      <c r="D26" s="30">
        <v>0</v>
      </c>
      <c r="E26" s="35">
        <v>0</v>
      </c>
      <c r="F26" s="30">
        <v>0</v>
      </c>
      <c r="G26" s="31">
        <v>0</v>
      </c>
      <c r="H26" s="22" t="s">
        <v>32</v>
      </c>
      <c r="I26" s="30">
        <v>0</v>
      </c>
      <c r="J26" s="35">
        <v>0</v>
      </c>
      <c r="K26" s="30">
        <v>0</v>
      </c>
      <c r="L26" s="35">
        <v>0</v>
      </c>
      <c r="M26" s="30">
        <v>0</v>
      </c>
      <c r="N26" s="31">
        <v>0</v>
      </c>
    </row>
    <row r="27" spans="1:14" x14ac:dyDescent="0.2">
      <c r="A27" s="10" t="s">
        <v>33</v>
      </c>
      <c r="B27">
        <v>21</v>
      </c>
      <c r="C27" s="36">
        <v>28</v>
      </c>
      <c r="D27">
        <v>0</v>
      </c>
      <c r="E27" s="36">
        <v>0</v>
      </c>
      <c r="F27">
        <v>0</v>
      </c>
      <c r="G27" s="2">
        <v>0</v>
      </c>
      <c r="H27" s="22" t="s">
        <v>33</v>
      </c>
      <c r="I27">
        <v>8</v>
      </c>
      <c r="J27" s="36">
        <v>42</v>
      </c>
      <c r="K27">
        <v>6</v>
      </c>
      <c r="L27" s="36">
        <v>24</v>
      </c>
      <c r="M27">
        <v>1</v>
      </c>
      <c r="N27" s="2">
        <v>16</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2D057-19D2-41C8-BB74-07E305355406}">
  <sheetPr codeName="Sheet6">
    <tabColor theme="4"/>
  </sheetPr>
  <dimension ref="A1:N26"/>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33</v>
      </c>
      <c r="I1" s="144" t="s">
        <v>305</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66</v>
      </c>
      <c r="D5" s="12" t="s">
        <v>263</v>
      </c>
      <c r="E5" s="165">
        <v>290</v>
      </c>
      <c r="F5" s="12" t="s">
        <v>5</v>
      </c>
      <c r="G5" s="164">
        <v>28</v>
      </c>
      <c r="H5" s="514"/>
      <c r="I5" s="21" t="s">
        <v>5</v>
      </c>
      <c r="J5" s="165">
        <v>21</v>
      </c>
      <c r="K5" s="24" t="s">
        <v>263</v>
      </c>
      <c r="L5" s="165">
        <v>114</v>
      </c>
      <c r="M5" s="24" t="s">
        <v>5</v>
      </c>
      <c r="N5" s="164">
        <v>42</v>
      </c>
    </row>
    <row r="6" spans="1:14" x14ac:dyDescent="0.2">
      <c r="A6" s="516"/>
      <c r="B6" s="10" t="s">
        <v>6</v>
      </c>
      <c r="C6" s="30">
        <v>66</v>
      </c>
      <c r="D6" s="13" t="s">
        <v>5</v>
      </c>
      <c r="E6" s="30">
        <v>275.5</v>
      </c>
      <c r="F6" s="13" t="s">
        <v>6</v>
      </c>
      <c r="G6" s="31">
        <v>28</v>
      </c>
      <c r="H6" s="514"/>
      <c r="I6" s="22" t="s">
        <v>6</v>
      </c>
      <c r="J6" s="30">
        <v>15</v>
      </c>
      <c r="K6" s="25" t="s">
        <v>329</v>
      </c>
      <c r="L6" s="30">
        <v>102.60000000000001</v>
      </c>
      <c r="M6" s="25" t="s">
        <v>6</v>
      </c>
      <c r="N6" s="31">
        <v>24</v>
      </c>
    </row>
    <row r="7" spans="1:14" ht="16" thickBot="1" x14ac:dyDescent="0.25">
      <c r="A7" s="516"/>
      <c r="B7" s="11" t="s">
        <v>7</v>
      </c>
      <c r="C7" s="4" t="s">
        <v>197</v>
      </c>
      <c r="D7" s="14" t="s">
        <v>7</v>
      </c>
      <c r="E7" s="4">
        <v>14.5</v>
      </c>
      <c r="F7" s="14" t="s">
        <v>7</v>
      </c>
      <c r="G7" s="5">
        <v>0</v>
      </c>
      <c r="H7" s="514"/>
      <c r="I7" s="23" t="s">
        <v>7</v>
      </c>
      <c r="J7" s="4" t="s">
        <v>197</v>
      </c>
      <c r="K7" s="26" t="s">
        <v>7</v>
      </c>
      <c r="L7" s="4">
        <v>11.4</v>
      </c>
      <c r="M7" s="26" t="s">
        <v>7</v>
      </c>
      <c r="N7" s="5">
        <v>16</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33</v>
      </c>
      <c r="H9" s="514"/>
      <c r="I9" s="532" t="s">
        <v>8</v>
      </c>
      <c r="J9" s="533"/>
      <c r="K9" s="533" t="s">
        <v>10</v>
      </c>
      <c r="L9" s="533"/>
      <c r="M9" s="21" t="s">
        <v>17</v>
      </c>
      <c r="N9" s="2">
        <v>33</v>
      </c>
    </row>
    <row r="10" spans="1:14" x14ac:dyDescent="0.2">
      <c r="A10" s="516"/>
      <c r="B10" s="10" t="s">
        <v>5</v>
      </c>
      <c r="C10">
        <v>59</v>
      </c>
      <c r="D10" s="13" t="s">
        <v>5</v>
      </c>
      <c r="E10">
        <v>21</v>
      </c>
      <c r="F10" s="10" t="s">
        <v>18</v>
      </c>
      <c r="G10" s="31">
        <v>5</v>
      </c>
      <c r="H10" s="514"/>
      <c r="I10" s="22" t="s">
        <v>5</v>
      </c>
      <c r="J10">
        <v>8</v>
      </c>
      <c r="K10" s="25" t="s">
        <v>5</v>
      </c>
      <c r="L10">
        <v>8</v>
      </c>
      <c r="M10" s="22" t="s">
        <v>18</v>
      </c>
      <c r="N10" s="31">
        <v>5</v>
      </c>
    </row>
    <row r="11" spans="1:14" x14ac:dyDescent="0.2">
      <c r="A11" s="516"/>
      <c r="B11" s="10" t="s">
        <v>6</v>
      </c>
      <c r="C11" s="30">
        <v>38</v>
      </c>
      <c r="D11" s="13" t="s">
        <v>6</v>
      </c>
      <c r="E11" s="30">
        <v>0</v>
      </c>
      <c r="F11" s="10" t="s">
        <v>354</v>
      </c>
      <c r="G11" s="164">
        <v>13</v>
      </c>
      <c r="H11" s="514"/>
      <c r="I11" s="22" t="s">
        <v>6</v>
      </c>
      <c r="J11" s="30">
        <v>6</v>
      </c>
      <c r="K11" s="25" t="s">
        <v>6</v>
      </c>
      <c r="L11" s="30">
        <v>6</v>
      </c>
      <c r="M11" s="22" t="s">
        <v>19</v>
      </c>
      <c r="N11" s="164">
        <v>6</v>
      </c>
    </row>
    <row r="12" spans="1:14" ht="16" thickBot="1" x14ac:dyDescent="0.25">
      <c r="A12" s="516"/>
      <c r="B12" s="11" t="s">
        <v>7</v>
      </c>
      <c r="C12" s="4">
        <v>1</v>
      </c>
      <c r="D12" s="14" t="s">
        <v>7</v>
      </c>
      <c r="E12" s="4">
        <v>1</v>
      </c>
      <c r="F12" s="11" t="s">
        <v>353</v>
      </c>
      <c r="G12" s="33">
        <v>2</v>
      </c>
      <c r="H12" s="514"/>
      <c r="I12" s="23" t="s">
        <v>7</v>
      </c>
      <c r="J12" s="4">
        <v>1</v>
      </c>
      <c r="K12" s="26" t="s">
        <v>7</v>
      </c>
      <c r="L12" s="4">
        <v>1</v>
      </c>
      <c r="M12" s="23" t="s">
        <v>20</v>
      </c>
      <c r="N12" s="33">
        <v>0</v>
      </c>
    </row>
    <row r="13" spans="1:14" ht="16" thickBot="1" x14ac:dyDescent="0.25">
      <c r="A13" s="516"/>
      <c r="B13" s="520" t="s">
        <v>0</v>
      </c>
      <c r="C13" s="521"/>
      <c r="D13" s="139" t="s">
        <v>267</v>
      </c>
      <c r="E13" s="135">
        <v>15</v>
      </c>
      <c r="F13" s="139" t="s">
        <v>268</v>
      </c>
      <c r="G13" s="134">
        <v>9</v>
      </c>
      <c r="H13" s="514"/>
      <c r="I13" s="523" t="s">
        <v>0</v>
      </c>
      <c r="J13" s="524"/>
      <c r="K13" s="133" t="s">
        <v>267</v>
      </c>
      <c r="L13" s="135">
        <v>15</v>
      </c>
      <c r="M13" s="133" t="s">
        <v>268</v>
      </c>
      <c r="N13" s="134">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20</v>
      </c>
      <c r="C16" s="30">
        <v>5</v>
      </c>
      <c r="D16">
        <v>0</v>
      </c>
      <c r="E16" s="30">
        <v>0</v>
      </c>
      <c r="F16">
        <v>0</v>
      </c>
      <c r="G16" s="31">
        <v>3</v>
      </c>
      <c r="H16" s="514"/>
      <c r="I16" s="1">
        <v>20</v>
      </c>
      <c r="J16" s="30">
        <v>5</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290</v>
      </c>
      <c r="C19" s="30">
        <v>71</v>
      </c>
      <c r="D19">
        <v>0</v>
      </c>
      <c r="E19" s="30">
        <v>0</v>
      </c>
      <c r="F19">
        <v>0</v>
      </c>
      <c r="G19" s="31">
        <v>45</v>
      </c>
      <c r="H19" s="514"/>
      <c r="I19" s="1">
        <v>114</v>
      </c>
      <c r="J19" s="30">
        <v>30</v>
      </c>
      <c r="K19">
        <v>0</v>
      </c>
      <c r="L19" s="30">
        <v>0</v>
      </c>
      <c r="M19">
        <v>0</v>
      </c>
      <c r="N19" s="31">
        <v>17</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0</v>
      </c>
      <c r="D22" s="4">
        <v>0</v>
      </c>
      <c r="E22" s="32">
        <v>3</v>
      </c>
      <c r="F22" s="4">
        <v>0</v>
      </c>
      <c r="G22" s="33">
        <v>0</v>
      </c>
      <c r="H22" s="515"/>
      <c r="I22" s="3">
        <v>0</v>
      </c>
      <c r="J22" s="32">
        <v>0</v>
      </c>
      <c r="K22" s="4">
        <v>0</v>
      </c>
      <c r="L22" s="32">
        <v>0</v>
      </c>
      <c r="M22" s="4">
        <v>0</v>
      </c>
      <c r="N22" s="3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1</v>
      </c>
      <c r="G25" s="2">
        <v>8</v>
      </c>
      <c r="H25" s="21" t="s">
        <v>31</v>
      </c>
      <c r="I25">
        <v>0</v>
      </c>
      <c r="J25" s="34">
        <v>0</v>
      </c>
      <c r="K25">
        <v>0</v>
      </c>
      <c r="L25" s="34">
        <v>0</v>
      </c>
      <c r="M25">
        <v>0</v>
      </c>
      <c r="N25" s="2">
        <v>0</v>
      </c>
    </row>
    <row r="26" spans="1:14" x14ac:dyDescent="0.2">
      <c r="A26" s="203" t="s">
        <v>33</v>
      </c>
      <c r="B26" s="169">
        <v>21</v>
      </c>
      <c r="C26" s="170">
        <v>28</v>
      </c>
      <c r="D26" s="169">
        <v>0</v>
      </c>
      <c r="E26" s="170">
        <v>0</v>
      </c>
      <c r="F26" s="169">
        <v>0</v>
      </c>
      <c r="G26" s="171">
        <v>0</v>
      </c>
      <c r="H26" s="198" t="s">
        <v>33</v>
      </c>
      <c r="I26" s="169">
        <v>8</v>
      </c>
      <c r="J26" s="170">
        <v>42</v>
      </c>
      <c r="K26" s="169">
        <v>6</v>
      </c>
      <c r="L26" s="170">
        <v>24</v>
      </c>
      <c r="M26" s="169">
        <v>1</v>
      </c>
      <c r="N26" s="171">
        <v>16</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6FA38-4938-4FD9-A003-ED8A4D094C9D}">
  <sheetPr codeName="Sheet16">
    <tabColor theme="4"/>
  </sheetPr>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32</v>
      </c>
      <c r="I1" s="144" t="s">
        <v>304</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30</v>
      </c>
      <c r="D5" s="12" t="s">
        <v>263</v>
      </c>
      <c r="E5" s="165">
        <v>205</v>
      </c>
      <c r="F5" s="12" t="s">
        <v>5</v>
      </c>
      <c r="G5" s="164">
        <v>28</v>
      </c>
      <c r="H5" s="514"/>
      <c r="I5" s="21" t="s">
        <v>5</v>
      </c>
      <c r="J5" s="165">
        <v>37</v>
      </c>
      <c r="K5" s="24" t="s">
        <v>263</v>
      </c>
      <c r="L5" s="165">
        <v>160</v>
      </c>
      <c r="M5" s="24" t="s">
        <v>5</v>
      </c>
      <c r="N5" s="164">
        <v>65</v>
      </c>
    </row>
    <row r="6" spans="1:14" x14ac:dyDescent="0.2">
      <c r="A6" s="516"/>
      <c r="B6" s="10" t="s">
        <v>6</v>
      </c>
      <c r="C6" s="30">
        <v>30</v>
      </c>
      <c r="D6" s="13" t="s">
        <v>5</v>
      </c>
      <c r="E6" s="30">
        <v>164</v>
      </c>
      <c r="F6" s="13" t="s">
        <v>6</v>
      </c>
      <c r="G6" s="31">
        <v>28</v>
      </c>
      <c r="H6" s="514"/>
      <c r="I6" s="22" t="s">
        <v>6</v>
      </c>
      <c r="J6" s="30">
        <v>25</v>
      </c>
      <c r="K6" s="25" t="s">
        <v>329</v>
      </c>
      <c r="L6" s="30">
        <v>128</v>
      </c>
      <c r="M6" s="25" t="s">
        <v>6</v>
      </c>
      <c r="N6" s="31">
        <v>38</v>
      </c>
    </row>
    <row r="7" spans="1:14" ht="16" thickBot="1" x14ac:dyDescent="0.25">
      <c r="A7" s="516"/>
      <c r="B7" s="11" t="s">
        <v>7</v>
      </c>
      <c r="C7" s="4" t="s">
        <v>197</v>
      </c>
      <c r="D7" s="14" t="s">
        <v>7</v>
      </c>
      <c r="E7" s="4">
        <v>41</v>
      </c>
      <c r="F7" s="14" t="s">
        <v>7</v>
      </c>
      <c r="G7" s="5">
        <v>0</v>
      </c>
      <c r="H7" s="514"/>
      <c r="I7" s="23" t="s">
        <v>7</v>
      </c>
      <c r="J7" s="4" t="s">
        <v>197</v>
      </c>
      <c r="K7" s="26" t="s">
        <v>7</v>
      </c>
      <c r="L7" s="4">
        <v>32</v>
      </c>
      <c r="M7" s="26" t="s">
        <v>7</v>
      </c>
      <c r="N7" s="5">
        <v>24</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32</v>
      </c>
      <c r="H9" s="514"/>
      <c r="I9" s="532" t="s">
        <v>8</v>
      </c>
      <c r="J9" s="533"/>
      <c r="K9" s="533" t="s">
        <v>10</v>
      </c>
      <c r="L9" s="533"/>
      <c r="M9" s="21" t="s">
        <v>17</v>
      </c>
      <c r="N9" s="2">
        <v>32</v>
      </c>
    </row>
    <row r="10" spans="1:14" x14ac:dyDescent="0.2">
      <c r="A10" s="516"/>
      <c r="B10" s="10" t="s">
        <v>5</v>
      </c>
      <c r="C10">
        <v>43</v>
      </c>
      <c r="D10" s="13" t="s">
        <v>5</v>
      </c>
      <c r="E10">
        <v>5</v>
      </c>
      <c r="F10" s="10" t="s">
        <v>18</v>
      </c>
      <c r="G10" s="31">
        <v>4</v>
      </c>
      <c r="H10" s="514"/>
      <c r="I10" s="22" t="s">
        <v>5</v>
      </c>
      <c r="J10">
        <v>8</v>
      </c>
      <c r="K10" s="25" t="s">
        <v>5</v>
      </c>
      <c r="L10">
        <v>8</v>
      </c>
      <c r="M10" s="22" t="s">
        <v>18</v>
      </c>
      <c r="N10" s="31">
        <v>4</v>
      </c>
    </row>
    <row r="11" spans="1:14" x14ac:dyDescent="0.2">
      <c r="A11" s="516"/>
      <c r="B11" s="10" t="s">
        <v>6</v>
      </c>
      <c r="C11" s="30">
        <v>38</v>
      </c>
      <c r="D11" s="13" t="s">
        <v>6</v>
      </c>
      <c r="E11" s="30">
        <v>0</v>
      </c>
      <c r="F11" s="10" t="s">
        <v>354</v>
      </c>
      <c r="G11" s="164">
        <v>10</v>
      </c>
      <c r="H11" s="514"/>
      <c r="I11" s="22" t="s">
        <v>6</v>
      </c>
      <c r="J11" s="30">
        <v>5</v>
      </c>
      <c r="K11" s="25" t="s">
        <v>6</v>
      </c>
      <c r="L11" s="30">
        <v>5</v>
      </c>
      <c r="M11" s="22" t="s">
        <v>19</v>
      </c>
      <c r="N11" s="164">
        <v>9</v>
      </c>
    </row>
    <row r="12" spans="1:14" ht="16" thickBot="1" x14ac:dyDescent="0.25">
      <c r="A12" s="516"/>
      <c r="B12" s="11" t="s">
        <v>7</v>
      </c>
      <c r="C12" s="4">
        <v>1</v>
      </c>
      <c r="D12" s="14" t="s">
        <v>7</v>
      </c>
      <c r="E12" s="4">
        <v>1</v>
      </c>
      <c r="F12" s="11" t="s">
        <v>353</v>
      </c>
      <c r="G12" s="33">
        <v>2</v>
      </c>
      <c r="H12" s="514"/>
      <c r="I12" s="23" t="s">
        <v>7</v>
      </c>
      <c r="J12" s="4">
        <v>1</v>
      </c>
      <c r="K12" s="26" t="s">
        <v>7</v>
      </c>
      <c r="L12" s="4">
        <v>1</v>
      </c>
      <c r="M12" s="23" t="s">
        <v>20</v>
      </c>
      <c r="N12" s="33">
        <v>2</v>
      </c>
    </row>
    <row r="13" spans="1:14" ht="16" thickBot="1" x14ac:dyDescent="0.25">
      <c r="A13" s="516"/>
      <c r="B13" s="520" t="s">
        <v>0</v>
      </c>
      <c r="C13" s="521"/>
      <c r="D13" s="139" t="s">
        <v>267</v>
      </c>
      <c r="E13" s="135">
        <v>8</v>
      </c>
      <c r="F13" s="139" t="s">
        <v>268</v>
      </c>
      <c r="G13" s="134">
        <v>2</v>
      </c>
      <c r="H13" s="514"/>
      <c r="I13" s="523" t="s">
        <v>0</v>
      </c>
      <c r="J13" s="524"/>
      <c r="K13" s="133" t="s">
        <v>267</v>
      </c>
      <c r="L13" s="135">
        <v>15</v>
      </c>
      <c r="M13" s="133" t="s">
        <v>268</v>
      </c>
      <c r="N13" s="134">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20</v>
      </c>
      <c r="C16" s="30">
        <v>5</v>
      </c>
      <c r="D16">
        <v>0</v>
      </c>
      <c r="E16" s="30">
        <v>0</v>
      </c>
      <c r="F16">
        <v>0</v>
      </c>
      <c r="G16" s="31">
        <v>3</v>
      </c>
      <c r="H16" s="514"/>
      <c r="I16" s="1">
        <v>20</v>
      </c>
      <c r="J16" s="30">
        <v>5</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205</v>
      </c>
      <c r="C19" s="30">
        <v>49</v>
      </c>
      <c r="D19">
        <v>0</v>
      </c>
      <c r="E19" s="30">
        <v>0</v>
      </c>
      <c r="F19">
        <v>0</v>
      </c>
      <c r="G19" s="31">
        <v>33</v>
      </c>
      <c r="H19" s="514"/>
      <c r="I19" s="1">
        <v>160</v>
      </c>
      <c r="J19" s="30">
        <v>41</v>
      </c>
      <c r="K19">
        <v>0</v>
      </c>
      <c r="L19" s="30">
        <v>0</v>
      </c>
      <c r="M19">
        <v>0</v>
      </c>
      <c r="N19" s="31">
        <v>23</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0</v>
      </c>
      <c r="D22" s="4">
        <v>0</v>
      </c>
      <c r="E22" s="32">
        <v>0</v>
      </c>
      <c r="F22" s="4">
        <v>0</v>
      </c>
      <c r="G22" s="33">
        <v>1</v>
      </c>
      <c r="H22" s="515"/>
      <c r="I22" s="3">
        <v>0</v>
      </c>
      <c r="J22" s="32">
        <v>0</v>
      </c>
      <c r="K22" s="4">
        <v>0</v>
      </c>
      <c r="L22" s="32">
        <v>0</v>
      </c>
      <c r="M22" s="4">
        <v>0</v>
      </c>
      <c r="N22" s="3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4</v>
      </c>
      <c r="C25" s="34">
        <v>14</v>
      </c>
      <c r="D25">
        <v>0</v>
      </c>
      <c r="E25" s="34">
        <v>0</v>
      </c>
      <c r="F25">
        <v>0</v>
      </c>
      <c r="G25" s="2">
        <v>0</v>
      </c>
      <c r="H25" s="21" t="s">
        <v>31</v>
      </c>
      <c r="I25">
        <v>8</v>
      </c>
      <c r="J25" s="34">
        <v>65</v>
      </c>
      <c r="K25">
        <v>5</v>
      </c>
      <c r="L25" s="34">
        <v>38</v>
      </c>
      <c r="M25">
        <v>1</v>
      </c>
      <c r="N25" s="2">
        <v>24</v>
      </c>
    </row>
    <row r="26" spans="1:14" x14ac:dyDescent="0.2">
      <c r="A26" s="10" t="s">
        <v>32</v>
      </c>
      <c r="B26" s="30">
        <v>0</v>
      </c>
      <c r="C26" s="35">
        <v>0</v>
      </c>
      <c r="D26" s="30">
        <v>0</v>
      </c>
      <c r="E26" s="35">
        <v>0</v>
      </c>
      <c r="F26" s="30">
        <v>0</v>
      </c>
      <c r="G26" s="31">
        <v>0</v>
      </c>
      <c r="H26" s="22" t="s">
        <v>32</v>
      </c>
      <c r="I26" s="30">
        <v>0</v>
      </c>
      <c r="J26" s="35">
        <v>0</v>
      </c>
      <c r="K26" s="30">
        <v>0</v>
      </c>
      <c r="L26" s="35">
        <v>0</v>
      </c>
      <c r="M26" s="30">
        <v>0</v>
      </c>
      <c r="N26" s="31">
        <v>0</v>
      </c>
    </row>
    <row r="27" spans="1:14" x14ac:dyDescent="0.2">
      <c r="A27" s="10" t="s">
        <v>33</v>
      </c>
      <c r="B27">
        <v>1</v>
      </c>
      <c r="C27" s="36">
        <v>14</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8C6AE-B80A-4CD4-B7B8-85587043CBB9}">
  <sheetPr codeName="Sheet21">
    <tabColor theme="4"/>
    <pageSetUpPr fitToPage="1"/>
  </sheetPr>
  <dimension ref="A1:N26"/>
  <sheetViews>
    <sheetView workbookViewId="0">
      <selection activeCell="J30" sqref="J30"/>
    </sheetView>
  </sheetViews>
  <sheetFormatPr baseColWidth="10" defaultColWidth="8.83203125" defaultRowHeight="15" x14ac:dyDescent="0.2"/>
  <cols>
    <col min="1" max="1" width="4.83203125" bestFit="1" customWidth="1"/>
    <col min="2" max="2" width="12.5" bestFit="1" customWidth="1"/>
    <col min="3" max="3" width="9.83203125" bestFit="1" customWidth="1"/>
    <col min="4" max="4" width="14" bestFit="1" customWidth="1"/>
    <col min="5" max="5" width="10.33203125" bestFit="1" customWidth="1"/>
    <col min="6" max="6" width="17.5" bestFit="1" customWidth="1"/>
    <col min="7" max="7" width="9.33203125" bestFit="1" customWidth="1"/>
    <col min="8" max="8" width="4.83203125" bestFit="1" customWidth="1"/>
    <col min="9" max="9" width="12.5" bestFit="1" customWidth="1"/>
    <col min="10" max="10" width="9.83203125" bestFit="1" customWidth="1"/>
    <col min="11" max="11" width="14" bestFit="1" customWidth="1"/>
    <col min="12" max="12" width="10.33203125" bestFit="1" customWidth="1"/>
    <col min="13" max="13" width="17.5" bestFit="1" customWidth="1"/>
    <col min="14" max="14" width="11.83203125" bestFit="1" customWidth="1"/>
  </cols>
  <sheetData>
    <row r="1" spans="1:14" ht="16" thickBot="1" x14ac:dyDescent="0.25">
      <c r="A1" s="512" t="s">
        <v>325</v>
      </c>
      <c r="B1" s="513"/>
      <c r="C1" s="513"/>
      <c r="D1" s="513"/>
      <c r="E1" s="513"/>
      <c r="F1" s="513"/>
      <c r="G1" s="513"/>
      <c r="H1" s="145">
        <v>32</v>
      </c>
      <c r="I1" s="144" t="s">
        <v>304</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229">
        <v>30</v>
      </c>
      <c r="D5" s="12" t="s">
        <v>263</v>
      </c>
      <c r="E5" s="229">
        <v>205</v>
      </c>
      <c r="F5" s="12" t="s">
        <v>5</v>
      </c>
      <c r="G5" s="232">
        <v>28</v>
      </c>
      <c r="H5" s="514"/>
      <c r="I5" s="21" t="s">
        <v>5</v>
      </c>
      <c r="J5" s="229">
        <v>37</v>
      </c>
      <c r="K5" s="24" t="s">
        <v>263</v>
      </c>
      <c r="L5" s="229">
        <v>160</v>
      </c>
      <c r="M5" s="24" t="s">
        <v>5</v>
      </c>
      <c r="N5" s="232">
        <v>65</v>
      </c>
    </row>
    <row r="6" spans="1:14" x14ac:dyDescent="0.2">
      <c r="A6" s="516"/>
      <c r="B6" s="10" t="s">
        <v>6</v>
      </c>
      <c r="C6" s="219">
        <v>30</v>
      </c>
      <c r="D6" s="13" t="s">
        <v>5</v>
      </c>
      <c r="E6" s="219">
        <v>164</v>
      </c>
      <c r="F6" s="13" t="s">
        <v>6</v>
      </c>
      <c r="G6" s="220">
        <v>28</v>
      </c>
      <c r="H6" s="514"/>
      <c r="I6" s="22" t="s">
        <v>6</v>
      </c>
      <c r="J6" s="219">
        <v>25</v>
      </c>
      <c r="K6" s="25" t="s">
        <v>329</v>
      </c>
      <c r="L6" s="219">
        <v>128</v>
      </c>
      <c r="M6" s="25" t="s">
        <v>6</v>
      </c>
      <c r="N6" s="220">
        <v>38</v>
      </c>
    </row>
    <row r="7" spans="1:14" ht="16" thickBot="1" x14ac:dyDescent="0.25">
      <c r="A7" s="516"/>
      <c r="B7" s="11" t="s">
        <v>7</v>
      </c>
      <c r="C7" s="222" t="s">
        <v>197</v>
      </c>
      <c r="D7" s="14" t="s">
        <v>7</v>
      </c>
      <c r="E7" s="222">
        <v>41</v>
      </c>
      <c r="F7" s="14" t="s">
        <v>7</v>
      </c>
      <c r="G7" s="233">
        <v>0</v>
      </c>
      <c r="H7" s="514"/>
      <c r="I7" s="23" t="s">
        <v>7</v>
      </c>
      <c r="J7" s="222" t="s">
        <v>197</v>
      </c>
      <c r="K7" s="26" t="s">
        <v>7</v>
      </c>
      <c r="L7" s="222">
        <v>32</v>
      </c>
      <c r="M7" s="26" t="s">
        <v>7</v>
      </c>
      <c r="N7" s="233">
        <v>24</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31">
        <v>32</v>
      </c>
      <c r="H9" s="514"/>
      <c r="I9" s="532" t="s">
        <v>8</v>
      </c>
      <c r="J9" s="533"/>
      <c r="K9" s="533" t="s">
        <v>10</v>
      </c>
      <c r="L9" s="533"/>
      <c r="M9" s="21" t="s">
        <v>17</v>
      </c>
      <c r="N9" s="231">
        <v>32</v>
      </c>
    </row>
    <row r="10" spans="1:14" x14ac:dyDescent="0.2">
      <c r="A10" s="516"/>
      <c r="B10" s="10" t="s">
        <v>5</v>
      </c>
      <c r="C10" s="212">
        <v>43</v>
      </c>
      <c r="D10" s="13" t="s">
        <v>5</v>
      </c>
      <c r="E10" s="212">
        <v>5</v>
      </c>
      <c r="F10" s="10" t="s">
        <v>18</v>
      </c>
      <c r="G10" s="220">
        <v>4</v>
      </c>
      <c r="H10" s="514"/>
      <c r="I10" s="22" t="s">
        <v>5</v>
      </c>
      <c r="J10" s="212">
        <v>8</v>
      </c>
      <c r="K10" s="25" t="s">
        <v>5</v>
      </c>
      <c r="L10" s="212">
        <v>8</v>
      </c>
      <c r="M10" s="22" t="s">
        <v>18</v>
      </c>
      <c r="N10" s="220">
        <v>4</v>
      </c>
    </row>
    <row r="11" spans="1:14" x14ac:dyDescent="0.2">
      <c r="A11" s="516"/>
      <c r="B11" s="10" t="s">
        <v>6</v>
      </c>
      <c r="C11" s="219">
        <v>38</v>
      </c>
      <c r="D11" s="13" t="s">
        <v>6</v>
      </c>
      <c r="E11" s="219">
        <v>0</v>
      </c>
      <c r="F11" s="10" t="s">
        <v>354</v>
      </c>
      <c r="G11" s="232">
        <v>10</v>
      </c>
      <c r="H11" s="514"/>
      <c r="I11" s="22" t="s">
        <v>6</v>
      </c>
      <c r="J11" s="219">
        <v>5</v>
      </c>
      <c r="K11" s="25" t="s">
        <v>6</v>
      </c>
      <c r="L11" s="219">
        <v>5</v>
      </c>
      <c r="M11" s="22" t="s">
        <v>19</v>
      </c>
      <c r="N11" s="232">
        <v>9</v>
      </c>
    </row>
    <row r="12" spans="1:14" ht="16" thickBot="1" x14ac:dyDescent="0.25">
      <c r="A12" s="516"/>
      <c r="B12" s="11" t="s">
        <v>7</v>
      </c>
      <c r="C12" s="222">
        <v>1</v>
      </c>
      <c r="D12" s="14" t="s">
        <v>7</v>
      </c>
      <c r="E12" s="222">
        <v>1</v>
      </c>
      <c r="F12" s="11" t="s">
        <v>353</v>
      </c>
      <c r="G12" s="223">
        <v>2</v>
      </c>
      <c r="H12" s="514"/>
      <c r="I12" s="23" t="s">
        <v>7</v>
      </c>
      <c r="J12" s="222">
        <v>1</v>
      </c>
      <c r="K12" s="26" t="s">
        <v>7</v>
      </c>
      <c r="L12" s="222">
        <v>1</v>
      </c>
      <c r="M12" s="23" t="s">
        <v>20</v>
      </c>
      <c r="N12" s="223">
        <v>2</v>
      </c>
    </row>
    <row r="13" spans="1:14" ht="16" thickBot="1" x14ac:dyDescent="0.25">
      <c r="A13" s="516"/>
      <c r="B13" s="520" t="s">
        <v>0</v>
      </c>
      <c r="C13" s="521"/>
      <c r="D13" s="139" t="s">
        <v>267</v>
      </c>
      <c r="E13" s="230">
        <v>8</v>
      </c>
      <c r="F13" s="139" t="s">
        <v>268</v>
      </c>
      <c r="G13" s="206">
        <v>2</v>
      </c>
      <c r="H13" s="514"/>
      <c r="I13" s="523" t="s">
        <v>0</v>
      </c>
      <c r="J13" s="524"/>
      <c r="K13" s="133" t="s">
        <v>267</v>
      </c>
      <c r="L13" s="230">
        <v>15</v>
      </c>
      <c r="M13" s="133" t="s">
        <v>268</v>
      </c>
      <c r="N13" s="206">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68">
        <v>20</v>
      </c>
      <c r="C16" s="219">
        <v>5</v>
      </c>
      <c r="D16" s="212">
        <v>0</v>
      </c>
      <c r="E16" s="219">
        <v>0</v>
      </c>
      <c r="F16" s="212">
        <v>0</v>
      </c>
      <c r="G16" s="220">
        <v>3</v>
      </c>
      <c r="H16" s="514"/>
      <c r="I16" s="168">
        <v>20</v>
      </c>
      <c r="J16" s="219">
        <v>5</v>
      </c>
      <c r="K16" s="212">
        <v>0</v>
      </c>
      <c r="L16" s="219">
        <v>0</v>
      </c>
      <c r="M16" s="212">
        <v>0</v>
      </c>
      <c r="N16" s="220">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68">
        <v>205</v>
      </c>
      <c r="C19" s="219">
        <v>49</v>
      </c>
      <c r="D19" s="212">
        <v>0</v>
      </c>
      <c r="E19" s="219">
        <v>0</v>
      </c>
      <c r="F19" s="212">
        <v>0</v>
      </c>
      <c r="G19" s="220">
        <v>33</v>
      </c>
      <c r="H19" s="514"/>
      <c r="I19" s="168">
        <v>160</v>
      </c>
      <c r="J19" s="219">
        <v>41</v>
      </c>
      <c r="K19" s="212">
        <v>0</v>
      </c>
      <c r="L19" s="219">
        <v>0</v>
      </c>
      <c r="M19" s="212">
        <v>0</v>
      </c>
      <c r="N19" s="220">
        <v>23</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186">
        <v>0</v>
      </c>
      <c r="C22" s="221">
        <v>0</v>
      </c>
      <c r="D22" s="222">
        <v>0</v>
      </c>
      <c r="E22" s="221">
        <v>0</v>
      </c>
      <c r="F22" s="222">
        <v>0</v>
      </c>
      <c r="G22" s="223">
        <v>1</v>
      </c>
      <c r="H22" s="515"/>
      <c r="I22" s="186">
        <v>0</v>
      </c>
      <c r="J22" s="221">
        <v>0</v>
      </c>
      <c r="K22" s="222">
        <v>0</v>
      </c>
      <c r="L22" s="221">
        <v>0</v>
      </c>
      <c r="M22" s="222">
        <v>0</v>
      </c>
      <c r="N22" s="22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s="212">
        <v>4</v>
      </c>
      <c r="C25" s="234">
        <v>14</v>
      </c>
      <c r="D25" s="212">
        <v>0</v>
      </c>
      <c r="E25" s="234">
        <v>0</v>
      </c>
      <c r="F25" s="212">
        <v>0</v>
      </c>
      <c r="G25" s="231">
        <v>0</v>
      </c>
      <c r="H25" s="21" t="s">
        <v>31</v>
      </c>
      <c r="I25" s="212">
        <v>8</v>
      </c>
      <c r="J25" s="234">
        <v>65</v>
      </c>
      <c r="K25" s="212">
        <v>5</v>
      </c>
      <c r="L25" s="234">
        <v>38</v>
      </c>
      <c r="M25" s="212">
        <v>1</v>
      </c>
      <c r="N25" s="231">
        <v>24</v>
      </c>
    </row>
    <row r="26" spans="1:14" x14ac:dyDescent="0.2">
      <c r="A26" s="203" t="s">
        <v>33</v>
      </c>
      <c r="B26" s="235">
        <v>1</v>
      </c>
      <c r="C26" s="236">
        <v>14</v>
      </c>
      <c r="D26" s="235">
        <v>0</v>
      </c>
      <c r="E26" s="236">
        <v>0</v>
      </c>
      <c r="F26" s="235">
        <v>0</v>
      </c>
      <c r="G26" s="237">
        <v>0</v>
      </c>
      <c r="H26" s="198" t="s">
        <v>33</v>
      </c>
      <c r="I26" s="235">
        <v>0</v>
      </c>
      <c r="J26" s="236">
        <v>0</v>
      </c>
      <c r="K26" s="235">
        <v>0</v>
      </c>
      <c r="L26" s="236">
        <v>0</v>
      </c>
      <c r="M26" s="235">
        <v>0</v>
      </c>
      <c r="N26" s="237">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pageSetup paperSize="5"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CAAF7-B37B-4C4C-A064-D714B92599D8}">
  <sheetPr codeName="Sheet33">
    <tabColor theme="4"/>
  </sheetPr>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31</v>
      </c>
      <c r="I1" s="144" t="s">
        <v>303</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68</v>
      </c>
      <c r="D5" s="12" t="s">
        <v>263</v>
      </c>
      <c r="E5" s="165">
        <v>320</v>
      </c>
      <c r="F5" s="12" t="s">
        <v>5</v>
      </c>
      <c r="G5" s="164">
        <v>24</v>
      </c>
      <c r="H5" s="514"/>
      <c r="I5" s="21" t="s">
        <v>5</v>
      </c>
      <c r="J5" s="165">
        <v>284</v>
      </c>
      <c r="K5" s="24" t="s">
        <v>263</v>
      </c>
      <c r="L5" s="165">
        <v>140</v>
      </c>
      <c r="M5" s="24" t="s">
        <v>5</v>
      </c>
      <c r="N5" s="164">
        <v>468</v>
      </c>
    </row>
    <row r="6" spans="1:14" x14ac:dyDescent="0.2">
      <c r="A6" s="516"/>
      <c r="B6" s="10" t="s">
        <v>6</v>
      </c>
      <c r="C6" s="30">
        <v>68</v>
      </c>
      <c r="D6" s="13" t="s">
        <v>5</v>
      </c>
      <c r="E6" s="30">
        <v>320</v>
      </c>
      <c r="F6" s="13" t="s">
        <v>6</v>
      </c>
      <c r="G6" s="31">
        <v>24</v>
      </c>
      <c r="H6" s="514"/>
      <c r="I6" s="22" t="s">
        <v>6</v>
      </c>
      <c r="J6" s="30">
        <v>282</v>
      </c>
      <c r="K6" s="25" t="s">
        <v>329</v>
      </c>
      <c r="L6" s="30">
        <v>140</v>
      </c>
      <c r="M6" s="25" t="s">
        <v>6</v>
      </c>
      <c r="N6" s="31">
        <v>459</v>
      </c>
    </row>
    <row r="7" spans="1:14" ht="16" thickBot="1" x14ac:dyDescent="0.25">
      <c r="A7" s="516"/>
      <c r="B7" s="11" t="s">
        <v>7</v>
      </c>
      <c r="C7" s="4" t="s">
        <v>197</v>
      </c>
      <c r="D7" s="14" t="s">
        <v>7</v>
      </c>
      <c r="E7" s="4">
        <v>0</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31</v>
      </c>
      <c r="H9" s="514"/>
      <c r="I9" s="532" t="s">
        <v>8</v>
      </c>
      <c r="J9" s="533"/>
      <c r="K9" s="533" t="s">
        <v>10</v>
      </c>
      <c r="L9" s="533"/>
      <c r="M9" s="21" t="s">
        <v>17</v>
      </c>
      <c r="N9" s="2">
        <v>31</v>
      </c>
    </row>
    <row r="10" spans="1:14" x14ac:dyDescent="0.2">
      <c r="A10" s="516"/>
      <c r="B10" s="10" t="s">
        <v>5</v>
      </c>
      <c r="C10">
        <v>44</v>
      </c>
      <c r="D10" s="13" t="s">
        <v>5</v>
      </c>
      <c r="E10">
        <v>6</v>
      </c>
      <c r="F10" s="10" t="s">
        <v>18</v>
      </c>
      <c r="G10" s="31">
        <v>5</v>
      </c>
      <c r="H10" s="514"/>
      <c r="I10" s="22" t="s">
        <v>5</v>
      </c>
      <c r="J10">
        <v>54</v>
      </c>
      <c r="K10" s="25" t="s">
        <v>5</v>
      </c>
      <c r="L10">
        <v>44</v>
      </c>
      <c r="M10" s="22" t="s">
        <v>18</v>
      </c>
      <c r="N10" s="31">
        <v>5</v>
      </c>
    </row>
    <row r="11" spans="1:14" x14ac:dyDescent="0.2">
      <c r="A11" s="516"/>
      <c r="B11" s="10" t="s">
        <v>6</v>
      </c>
      <c r="C11" s="30">
        <v>38</v>
      </c>
      <c r="D11" s="13" t="s">
        <v>6</v>
      </c>
      <c r="E11" s="30">
        <v>0</v>
      </c>
      <c r="F11" s="10" t="s">
        <v>354</v>
      </c>
      <c r="G11" s="164">
        <v>13</v>
      </c>
      <c r="H11" s="514"/>
      <c r="I11" s="22" t="s">
        <v>6</v>
      </c>
      <c r="J11" s="30">
        <v>52</v>
      </c>
      <c r="K11" s="25" t="s">
        <v>6</v>
      </c>
      <c r="L11" s="30">
        <v>43</v>
      </c>
      <c r="M11" s="22" t="s">
        <v>19</v>
      </c>
      <c r="N11" s="164">
        <v>6</v>
      </c>
    </row>
    <row r="12" spans="1:14" ht="16" thickBot="1" x14ac:dyDescent="0.25">
      <c r="A12" s="516"/>
      <c r="B12" s="11" t="s">
        <v>7</v>
      </c>
      <c r="C12" s="4">
        <v>0</v>
      </c>
      <c r="D12" s="14" t="s">
        <v>7</v>
      </c>
      <c r="E12" s="4">
        <v>0</v>
      </c>
      <c r="F12" s="11" t="s">
        <v>353</v>
      </c>
      <c r="G12" s="33">
        <v>4</v>
      </c>
      <c r="H12" s="514"/>
      <c r="I12" s="23" t="s">
        <v>7</v>
      </c>
      <c r="J12" s="4">
        <v>0</v>
      </c>
      <c r="K12" s="26" t="s">
        <v>7</v>
      </c>
      <c r="L12" s="4">
        <v>0</v>
      </c>
      <c r="M12" s="23" t="s">
        <v>20</v>
      </c>
      <c r="N12" s="33">
        <v>2</v>
      </c>
    </row>
    <row r="13" spans="1:14" ht="16" thickBot="1" x14ac:dyDescent="0.25">
      <c r="A13" s="516"/>
      <c r="B13" s="520" t="s">
        <v>0</v>
      </c>
      <c r="C13" s="521"/>
      <c r="D13" s="139" t="s">
        <v>267</v>
      </c>
      <c r="E13" s="135">
        <v>8</v>
      </c>
      <c r="F13" s="139" t="s">
        <v>268</v>
      </c>
      <c r="G13" s="134">
        <v>5</v>
      </c>
      <c r="H13" s="514"/>
      <c r="I13" s="523" t="s">
        <v>0</v>
      </c>
      <c r="J13" s="524"/>
      <c r="K13" s="133" t="s">
        <v>267</v>
      </c>
      <c r="L13" s="135">
        <v>15</v>
      </c>
      <c r="M13" s="133" t="s">
        <v>268</v>
      </c>
      <c r="N13" s="134">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25</v>
      </c>
      <c r="C16" s="30">
        <v>6</v>
      </c>
      <c r="D16">
        <v>0</v>
      </c>
      <c r="E16" s="30">
        <v>0</v>
      </c>
      <c r="F16">
        <v>0</v>
      </c>
      <c r="G16" s="31">
        <v>4</v>
      </c>
      <c r="H16" s="514"/>
      <c r="I16" s="1">
        <v>26</v>
      </c>
      <c r="J16" s="30">
        <v>6</v>
      </c>
      <c r="K16">
        <v>0</v>
      </c>
      <c r="L16" s="30">
        <v>0</v>
      </c>
      <c r="M16">
        <v>0</v>
      </c>
      <c r="N16" s="31">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320</v>
      </c>
      <c r="C19" s="30">
        <v>77</v>
      </c>
      <c r="D19">
        <v>0</v>
      </c>
      <c r="E19" s="30">
        <v>0</v>
      </c>
      <c r="F19">
        <v>0</v>
      </c>
      <c r="G19" s="31">
        <v>51</v>
      </c>
      <c r="H19" s="514"/>
      <c r="I19" s="1">
        <v>140</v>
      </c>
      <c r="J19" s="30">
        <v>32</v>
      </c>
      <c r="K19">
        <v>0</v>
      </c>
      <c r="L19" s="30">
        <v>0</v>
      </c>
      <c r="M19">
        <v>0</v>
      </c>
      <c r="N19" s="31">
        <v>17</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0</v>
      </c>
      <c r="D22" s="4">
        <v>0</v>
      </c>
      <c r="E22" s="32">
        <v>0</v>
      </c>
      <c r="F22" s="4">
        <v>0</v>
      </c>
      <c r="G22" s="33">
        <v>0</v>
      </c>
      <c r="H22" s="515"/>
      <c r="I22" s="3">
        <v>0</v>
      </c>
      <c r="J22" s="32">
        <v>0</v>
      </c>
      <c r="K22" s="4">
        <v>1</v>
      </c>
      <c r="L22" s="32">
        <v>1</v>
      </c>
      <c r="M22" s="4">
        <v>0</v>
      </c>
      <c r="N22" s="3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3</v>
      </c>
      <c r="C25" s="34">
        <v>12</v>
      </c>
      <c r="D25">
        <v>0</v>
      </c>
      <c r="E25" s="34">
        <v>0</v>
      </c>
      <c r="F25">
        <v>0</v>
      </c>
      <c r="G25" s="2">
        <v>0</v>
      </c>
      <c r="H25" s="21" t="s">
        <v>31</v>
      </c>
      <c r="I25">
        <v>54</v>
      </c>
      <c r="J25" s="34">
        <v>468</v>
      </c>
      <c r="K25">
        <v>52</v>
      </c>
      <c r="L25" s="34">
        <v>459</v>
      </c>
      <c r="M25">
        <v>0</v>
      </c>
      <c r="N25" s="2">
        <v>0</v>
      </c>
    </row>
    <row r="26" spans="1:14" x14ac:dyDescent="0.2">
      <c r="A26" s="10" t="s">
        <v>32</v>
      </c>
      <c r="B26" s="30">
        <v>0</v>
      </c>
      <c r="C26" s="35">
        <v>0</v>
      </c>
      <c r="D26" s="30">
        <v>0</v>
      </c>
      <c r="E26" s="35">
        <v>0</v>
      </c>
      <c r="F26" s="30">
        <v>0</v>
      </c>
      <c r="G26" s="31">
        <v>0</v>
      </c>
      <c r="H26" s="22" t="s">
        <v>32</v>
      </c>
      <c r="I26" s="30">
        <v>0</v>
      </c>
      <c r="J26" s="35">
        <v>0</v>
      </c>
      <c r="K26" s="30">
        <v>0</v>
      </c>
      <c r="L26" s="35">
        <v>0</v>
      </c>
      <c r="M26" s="30">
        <v>0</v>
      </c>
      <c r="N26" s="31">
        <v>0</v>
      </c>
    </row>
    <row r="27" spans="1:14" x14ac:dyDescent="0.2">
      <c r="A27" s="10" t="s">
        <v>33</v>
      </c>
      <c r="B27">
        <v>3</v>
      </c>
      <c r="C27" s="36">
        <v>12</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6DDB-3B25-4AEF-801F-3F1229698CBA}">
  <sheetPr codeName="Sheet34">
    <tabColor theme="4"/>
    <pageSetUpPr fitToPage="1"/>
  </sheetPr>
  <dimension ref="A1:N26"/>
  <sheetViews>
    <sheetView workbookViewId="0">
      <selection activeCell="P9" sqref="P9"/>
    </sheetView>
  </sheetViews>
  <sheetFormatPr baseColWidth="10" defaultColWidth="8.83203125" defaultRowHeight="15" x14ac:dyDescent="0.2"/>
  <cols>
    <col min="1" max="1" width="4.83203125" bestFit="1" customWidth="1"/>
    <col min="2" max="2" width="12.5" bestFit="1" customWidth="1"/>
    <col min="3" max="3" width="9.83203125" bestFit="1" customWidth="1"/>
    <col min="4" max="4" width="14" bestFit="1" customWidth="1"/>
    <col min="5" max="5" width="10.33203125" bestFit="1" customWidth="1"/>
    <col min="6" max="6" width="17.5" bestFit="1" customWidth="1"/>
    <col min="7" max="7" width="9.33203125" bestFit="1" customWidth="1"/>
    <col min="8" max="8" width="4.83203125" bestFit="1" customWidth="1"/>
    <col min="9" max="9" width="12.83203125" bestFit="1" customWidth="1"/>
    <col min="10" max="10" width="9.83203125" bestFit="1" customWidth="1"/>
    <col min="11" max="11" width="14" bestFit="1" customWidth="1"/>
    <col min="12" max="12" width="10.33203125" bestFit="1" customWidth="1"/>
    <col min="13" max="13" width="17.5" bestFit="1" customWidth="1"/>
    <col min="14" max="14" width="11.83203125" bestFit="1" customWidth="1"/>
  </cols>
  <sheetData>
    <row r="1" spans="1:14" ht="16" thickBot="1" x14ac:dyDescent="0.25">
      <c r="A1" s="512" t="s">
        <v>325</v>
      </c>
      <c r="B1" s="513"/>
      <c r="C1" s="513"/>
      <c r="D1" s="513"/>
      <c r="E1" s="513"/>
      <c r="F1" s="513"/>
      <c r="G1" s="513"/>
      <c r="H1" s="145">
        <v>31</v>
      </c>
      <c r="I1" s="144" t="s">
        <v>303</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395</v>
      </c>
      <c r="C3" s="424"/>
      <c r="D3" s="424"/>
      <c r="E3" s="424"/>
      <c r="F3" s="424"/>
      <c r="G3" s="425"/>
      <c r="H3" s="514"/>
      <c r="I3" s="411" t="s">
        <v>395</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229">
        <v>68</v>
      </c>
      <c r="D5" s="12" t="s">
        <v>263</v>
      </c>
      <c r="E5" s="229">
        <v>320</v>
      </c>
      <c r="F5" s="12" t="s">
        <v>5</v>
      </c>
      <c r="G5" s="232">
        <v>24</v>
      </c>
      <c r="H5" s="514"/>
      <c r="I5" s="21" t="s">
        <v>5</v>
      </c>
      <c r="J5" s="229">
        <v>284</v>
      </c>
      <c r="K5" s="24" t="s">
        <v>263</v>
      </c>
      <c r="L5" s="229">
        <v>140</v>
      </c>
      <c r="M5" s="24" t="s">
        <v>5</v>
      </c>
      <c r="N5" s="232">
        <v>468</v>
      </c>
    </row>
    <row r="6" spans="1:14" x14ac:dyDescent="0.2">
      <c r="A6" s="516"/>
      <c r="B6" s="10" t="s">
        <v>6</v>
      </c>
      <c r="C6" s="219">
        <v>68</v>
      </c>
      <c r="D6" s="13" t="s">
        <v>5</v>
      </c>
      <c r="E6" s="219">
        <v>320</v>
      </c>
      <c r="F6" s="13" t="s">
        <v>6</v>
      </c>
      <c r="G6" s="220">
        <v>24</v>
      </c>
      <c r="H6" s="514"/>
      <c r="I6" s="22" t="s">
        <v>6</v>
      </c>
      <c r="J6" s="219">
        <v>282</v>
      </c>
      <c r="K6" s="25" t="s">
        <v>329</v>
      </c>
      <c r="L6" s="219">
        <v>140</v>
      </c>
      <c r="M6" s="25" t="s">
        <v>6</v>
      </c>
      <c r="N6" s="220">
        <v>459</v>
      </c>
    </row>
    <row r="7" spans="1:14" ht="16" thickBot="1" x14ac:dyDescent="0.25">
      <c r="A7" s="516"/>
      <c r="B7" s="11" t="s">
        <v>7</v>
      </c>
      <c r="C7" s="222" t="s">
        <v>197</v>
      </c>
      <c r="D7" s="14" t="s">
        <v>7</v>
      </c>
      <c r="E7" s="222">
        <v>0</v>
      </c>
      <c r="F7" s="14" t="s">
        <v>7</v>
      </c>
      <c r="G7" s="233">
        <v>0</v>
      </c>
      <c r="H7" s="514"/>
      <c r="I7" s="23" t="s">
        <v>7</v>
      </c>
      <c r="J7" s="222" t="s">
        <v>197</v>
      </c>
      <c r="K7" s="26" t="s">
        <v>7</v>
      </c>
      <c r="L7" s="222">
        <v>0</v>
      </c>
      <c r="M7" s="26" t="s">
        <v>7</v>
      </c>
      <c r="N7" s="233">
        <v>0</v>
      </c>
    </row>
    <row r="8" spans="1:14" x14ac:dyDescent="0.2">
      <c r="A8" s="516"/>
      <c r="B8" s="426" t="s">
        <v>396</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31">
        <v>31</v>
      </c>
      <c r="H9" s="514"/>
      <c r="I9" s="532" t="s">
        <v>8</v>
      </c>
      <c r="J9" s="533"/>
      <c r="K9" s="533" t="s">
        <v>10</v>
      </c>
      <c r="L9" s="533"/>
      <c r="M9" s="21" t="s">
        <v>17</v>
      </c>
      <c r="N9" s="231">
        <v>31</v>
      </c>
    </row>
    <row r="10" spans="1:14" x14ac:dyDescent="0.2">
      <c r="A10" s="516"/>
      <c r="B10" s="10" t="s">
        <v>5</v>
      </c>
      <c r="C10" s="212">
        <v>44</v>
      </c>
      <c r="D10" s="13" t="s">
        <v>5</v>
      </c>
      <c r="E10" s="212">
        <v>6</v>
      </c>
      <c r="F10" s="10" t="s">
        <v>18</v>
      </c>
      <c r="G10" s="220">
        <v>5</v>
      </c>
      <c r="H10" s="514"/>
      <c r="I10" s="22" t="s">
        <v>5</v>
      </c>
      <c r="J10" s="212">
        <v>54</v>
      </c>
      <c r="K10" s="25" t="s">
        <v>5</v>
      </c>
      <c r="L10" s="212">
        <v>44</v>
      </c>
      <c r="M10" s="22" t="s">
        <v>18</v>
      </c>
      <c r="N10" s="220">
        <v>5</v>
      </c>
    </row>
    <row r="11" spans="1:14" x14ac:dyDescent="0.2">
      <c r="A11" s="516"/>
      <c r="B11" s="10" t="s">
        <v>6</v>
      </c>
      <c r="C11" s="219">
        <v>38</v>
      </c>
      <c r="D11" s="13" t="s">
        <v>6</v>
      </c>
      <c r="E11" s="219">
        <v>0</v>
      </c>
      <c r="F11" s="10" t="s">
        <v>354</v>
      </c>
      <c r="G11" s="232">
        <v>13</v>
      </c>
      <c r="H11" s="514"/>
      <c r="I11" s="22" t="s">
        <v>6</v>
      </c>
      <c r="J11" s="219">
        <v>52</v>
      </c>
      <c r="K11" s="25" t="s">
        <v>6</v>
      </c>
      <c r="L11" s="219">
        <v>43</v>
      </c>
      <c r="M11" s="22" t="s">
        <v>19</v>
      </c>
      <c r="N11" s="232">
        <v>6</v>
      </c>
    </row>
    <row r="12" spans="1:14" ht="16" thickBot="1" x14ac:dyDescent="0.25">
      <c r="A12" s="516"/>
      <c r="B12" s="11" t="s">
        <v>7</v>
      </c>
      <c r="C12" s="222">
        <v>0</v>
      </c>
      <c r="D12" s="14" t="s">
        <v>7</v>
      </c>
      <c r="E12" s="222">
        <v>0</v>
      </c>
      <c r="F12" s="11" t="s">
        <v>353</v>
      </c>
      <c r="G12" s="223">
        <v>4</v>
      </c>
      <c r="H12" s="514"/>
      <c r="I12" s="23" t="s">
        <v>7</v>
      </c>
      <c r="J12" s="222">
        <v>0</v>
      </c>
      <c r="K12" s="26" t="s">
        <v>7</v>
      </c>
      <c r="L12" s="222">
        <v>0</v>
      </c>
      <c r="M12" s="23" t="s">
        <v>20</v>
      </c>
      <c r="N12" s="223">
        <v>2</v>
      </c>
    </row>
    <row r="13" spans="1:14" ht="16" thickBot="1" x14ac:dyDescent="0.25">
      <c r="A13" s="516"/>
      <c r="B13" s="520" t="s">
        <v>0</v>
      </c>
      <c r="C13" s="521"/>
      <c r="D13" s="139" t="s">
        <v>267</v>
      </c>
      <c r="E13" s="230">
        <v>8</v>
      </c>
      <c r="F13" s="139" t="s">
        <v>268</v>
      </c>
      <c r="G13" s="206">
        <v>5</v>
      </c>
      <c r="H13" s="514"/>
      <c r="I13" s="523" t="s">
        <v>0</v>
      </c>
      <c r="J13" s="524"/>
      <c r="K13" s="133" t="s">
        <v>267</v>
      </c>
      <c r="L13" s="230">
        <v>15</v>
      </c>
      <c r="M13" s="133" t="s">
        <v>268</v>
      </c>
      <c r="N13" s="206">
        <v>4</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68">
        <v>25</v>
      </c>
      <c r="C16" s="219">
        <v>6</v>
      </c>
      <c r="D16" s="212">
        <v>0</v>
      </c>
      <c r="E16" s="219">
        <v>0</v>
      </c>
      <c r="F16" s="212">
        <v>0</v>
      </c>
      <c r="G16" s="220">
        <v>4</v>
      </c>
      <c r="H16" s="514"/>
      <c r="I16" s="166">
        <v>26</v>
      </c>
      <c r="J16" s="227">
        <v>6</v>
      </c>
      <c r="K16" s="185">
        <v>0</v>
      </c>
      <c r="L16" s="227">
        <v>0</v>
      </c>
      <c r="M16" s="185">
        <v>0</v>
      </c>
      <c r="N16" s="228">
        <v>3</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68">
        <v>320</v>
      </c>
      <c r="C19" s="219">
        <v>77</v>
      </c>
      <c r="D19" s="212">
        <v>0</v>
      </c>
      <c r="E19" s="219">
        <v>0</v>
      </c>
      <c r="F19" s="212">
        <v>0</v>
      </c>
      <c r="G19" s="220">
        <v>51</v>
      </c>
      <c r="H19" s="514"/>
      <c r="I19" s="168">
        <v>140</v>
      </c>
      <c r="J19" s="219">
        <v>32</v>
      </c>
      <c r="K19" s="212">
        <v>0</v>
      </c>
      <c r="L19" s="219">
        <v>0</v>
      </c>
      <c r="M19" s="212">
        <v>0</v>
      </c>
      <c r="N19" s="220">
        <v>17</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186">
        <v>0</v>
      </c>
      <c r="C22" s="221">
        <v>0</v>
      </c>
      <c r="D22" s="222">
        <v>0</v>
      </c>
      <c r="E22" s="221">
        <v>0</v>
      </c>
      <c r="F22" s="222">
        <v>0</v>
      </c>
      <c r="G22" s="223">
        <v>0</v>
      </c>
      <c r="H22" s="515"/>
      <c r="I22" s="186">
        <v>0</v>
      </c>
      <c r="J22" s="221">
        <v>0</v>
      </c>
      <c r="K22" s="222">
        <v>1</v>
      </c>
      <c r="L22" s="221">
        <v>1</v>
      </c>
      <c r="M22" s="222">
        <v>0</v>
      </c>
      <c r="N22" s="22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s="212">
        <v>3</v>
      </c>
      <c r="C25" s="234">
        <v>12</v>
      </c>
      <c r="D25" s="212">
        <v>0</v>
      </c>
      <c r="E25" s="234">
        <v>0</v>
      </c>
      <c r="F25" s="212">
        <v>0</v>
      </c>
      <c r="G25" s="231">
        <v>0</v>
      </c>
      <c r="H25" s="21" t="s">
        <v>31</v>
      </c>
      <c r="I25" s="212">
        <v>54</v>
      </c>
      <c r="J25" s="234">
        <v>468</v>
      </c>
      <c r="K25" s="212">
        <v>52</v>
      </c>
      <c r="L25" s="234">
        <v>459</v>
      </c>
      <c r="M25" s="212">
        <v>0</v>
      </c>
      <c r="N25" s="231">
        <v>0</v>
      </c>
    </row>
    <row r="26" spans="1:14" x14ac:dyDescent="0.2">
      <c r="A26" s="203" t="s">
        <v>33</v>
      </c>
      <c r="B26" s="235">
        <v>3</v>
      </c>
      <c r="C26" s="236">
        <v>12</v>
      </c>
      <c r="D26" s="235">
        <v>0</v>
      </c>
      <c r="E26" s="236">
        <v>0</v>
      </c>
      <c r="F26" s="235">
        <v>0</v>
      </c>
      <c r="G26" s="237">
        <v>0</v>
      </c>
      <c r="H26" s="198" t="s">
        <v>33</v>
      </c>
      <c r="I26" s="235">
        <v>0</v>
      </c>
      <c r="J26" s="236">
        <v>0</v>
      </c>
      <c r="K26" s="235">
        <v>0</v>
      </c>
      <c r="L26" s="236">
        <v>0</v>
      </c>
      <c r="M26" s="235">
        <v>0</v>
      </c>
      <c r="N26" s="237">
        <v>0</v>
      </c>
    </row>
  </sheetData>
  <mergeCells count="31">
    <mergeCell ref="B13:C13"/>
    <mergeCell ref="I13:J13"/>
    <mergeCell ref="A23:G23"/>
    <mergeCell ref="H23:N23"/>
    <mergeCell ref="B14:G14"/>
    <mergeCell ref="I14:N14"/>
    <mergeCell ref="B17:G17"/>
    <mergeCell ref="I17:N17"/>
    <mergeCell ref="B20:G20"/>
    <mergeCell ref="I20:N20"/>
    <mergeCell ref="M8:N8"/>
    <mergeCell ref="B9:C9"/>
    <mergeCell ref="D9:E9"/>
    <mergeCell ref="I9:J9"/>
    <mergeCell ref="K9:L9"/>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s>
  <pageMargins left="0.7" right="0.7" top="0.75" bottom="0.75" header="0.3" footer="0.3"/>
  <pageSetup paperSize="5" fitToHeight="0"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24E6C-D956-4C68-BC10-FC64F82BE5D0}">
  <sheetPr codeName="Sheet35">
    <tabColor theme="4"/>
  </sheetPr>
  <dimension ref="A1:N34"/>
  <sheetViews>
    <sheetView workbookViewId="0">
      <selection sqref="A1:G1"/>
    </sheetView>
  </sheetViews>
  <sheetFormatPr baseColWidth="10" defaultColWidth="8.83203125" defaultRowHeight="15" x14ac:dyDescent="0.2"/>
  <sheetData>
    <row r="1" spans="1:14" ht="16" thickBot="1" x14ac:dyDescent="0.25">
      <c r="A1" s="512" t="s">
        <v>325</v>
      </c>
      <c r="B1" s="513"/>
      <c r="C1" s="513"/>
      <c r="D1" s="513"/>
      <c r="E1" s="513"/>
      <c r="F1" s="513"/>
      <c r="G1" s="513"/>
      <c r="H1" s="145">
        <v>30</v>
      </c>
      <c r="I1" s="144" t="s">
        <v>302</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0</v>
      </c>
      <c r="D5" s="12" t="s">
        <v>263</v>
      </c>
      <c r="E5" s="165">
        <v>0</v>
      </c>
      <c r="F5" s="12" t="s">
        <v>5</v>
      </c>
      <c r="G5" s="164">
        <v>0</v>
      </c>
      <c r="H5" s="514"/>
      <c r="I5" s="21" t="s">
        <v>5</v>
      </c>
      <c r="J5" s="165">
        <v>0</v>
      </c>
      <c r="K5" s="24" t="s">
        <v>263</v>
      </c>
      <c r="L5" s="165">
        <v>42</v>
      </c>
      <c r="M5" s="24" t="s">
        <v>5</v>
      </c>
      <c r="N5" s="164">
        <v>0</v>
      </c>
    </row>
    <row r="6" spans="1:14" x14ac:dyDescent="0.2">
      <c r="A6" s="516"/>
      <c r="B6" s="10" t="s">
        <v>6</v>
      </c>
      <c r="C6" s="30">
        <v>0</v>
      </c>
      <c r="D6" s="13" t="s">
        <v>5</v>
      </c>
      <c r="E6" s="30">
        <v>0</v>
      </c>
      <c r="F6" s="13" t="s">
        <v>6</v>
      </c>
      <c r="G6" s="31">
        <v>0</v>
      </c>
      <c r="H6" s="514"/>
      <c r="I6" s="22" t="s">
        <v>6</v>
      </c>
      <c r="J6" s="30">
        <v>0</v>
      </c>
      <c r="K6" s="25" t="s">
        <v>329</v>
      </c>
      <c r="L6" s="30">
        <v>0</v>
      </c>
      <c r="M6" s="25" t="s">
        <v>6</v>
      </c>
      <c r="N6" s="31">
        <v>0</v>
      </c>
    </row>
    <row r="7" spans="1:14" ht="16" thickBot="1" x14ac:dyDescent="0.25">
      <c r="A7" s="516"/>
      <c r="B7" s="11" t="s">
        <v>7</v>
      </c>
      <c r="C7" s="4" t="s">
        <v>197</v>
      </c>
      <c r="D7" s="14" t="s">
        <v>7</v>
      </c>
      <c r="E7" s="4">
        <v>0</v>
      </c>
      <c r="F7" s="14" t="s">
        <v>7</v>
      </c>
      <c r="G7" s="5">
        <v>0</v>
      </c>
      <c r="H7" s="514"/>
      <c r="I7" s="23" t="s">
        <v>7</v>
      </c>
      <c r="J7" s="4" t="s">
        <v>197</v>
      </c>
      <c r="K7" s="26" t="s">
        <v>7</v>
      </c>
      <c r="L7" s="4">
        <v>42</v>
      </c>
      <c r="M7" s="26" t="s">
        <v>7</v>
      </c>
      <c r="N7" s="5">
        <v>14</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30</v>
      </c>
      <c r="H9" s="514"/>
      <c r="I9" s="532" t="s">
        <v>8</v>
      </c>
      <c r="J9" s="533"/>
      <c r="K9" s="533" t="s">
        <v>10</v>
      </c>
      <c r="L9" s="533"/>
      <c r="M9" s="21" t="s">
        <v>17</v>
      </c>
      <c r="N9" s="2">
        <v>30</v>
      </c>
    </row>
    <row r="10" spans="1:14" x14ac:dyDescent="0.2">
      <c r="A10" s="516"/>
      <c r="B10" s="10" t="s">
        <v>5</v>
      </c>
      <c r="C10">
        <v>0</v>
      </c>
      <c r="D10" s="13" t="s">
        <v>5</v>
      </c>
      <c r="E10">
        <v>0</v>
      </c>
      <c r="F10" s="10" t="s">
        <v>18</v>
      </c>
      <c r="G10" s="31">
        <v>4</v>
      </c>
      <c r="H10" s="514"/>
      <c r="I10" s="22" t="s">
        <v>5</v>
      </c>
      <c r="J10">
        <v>0</v>
      </c>
      <c r="K10" s="25" t="s">
        <v>5</v>
      </c>
      <c r="L10">
        <v>0</v>
      </c>
      <c r="M10" s="22" t="s">
        <v>18</v>
      </c>
      <c r="N10" s="31">
        <v>4</v>
      </c>
    </row>
    <row r="11" spans="1:14" x14ac:dyDescent="0.2">
      <c r="A11" s="516"/>
      <c r="B11" s="10" t="s">
        <v>6</v>
      </c>
      <c r="C11" s="30">
        <v>0</v>
      </c>
      <c r="D11" s="13" t="s">
        <v>6</v>
      </c>
      <c r="E11" s="30">
        <v>0</v>
      </c>
      <c r="F11" s="10" t="s">
        <v>354</v>
      </c>
      <c r="G11" s="164">
        <v>10</v>
      </c>
      <c r="H11" s="514"/>
      <c r="I11" s="22" t="s">
        <v>6</v>
      </c>
      <c r="J11" s="30">
        <v>0</v>
      </c>
      <c r="K11" s="25" t="s">
        <v>6</v>
      </c>
      <c r="L11" s="30">
        <v>0</v>
      </c>
      <c r="M11" s="22" t="s">
        <v>19</v>
      </c>
      <c r="N11" s="164">
        <v>5</v>
      </c>
    </row>
    <row r="12" spans="1:14" ht="16" thickBot="1" x14ac:dyDescent="0.25">
      <c r="A12" s="516"/>
      <c r="B12" s="11" t="s">
        <v>7</v>
      </c>
      <c r="C12" s="4">
        <v>0</v>
      </c>
      <c r="D12" s="14" t="s">
        <v>7</v>
      </c>
      <c r="E12" s="4">
        <v>0</v>
      </c>
      <c r="F12" s="11" t="s">
        <v>353</v>
      </c>
      <c r="G12" s="33">
        <v>3</v>
      </c>
      <c r="H12" s="514"/>
      <c r="I12" s="23" t="s">
        <v>7</v>
      </c>
      <c r="J12" s="4">
        <v>1</v>
      </c>
      <c r="K12" s="26" t="s">
        <v>7</v>
      </c>
      <c r="L12" s="4">
        <v>1</v>
      </c>
      <c r="M12" s="23" t="s">
        <v>20</v>
      </c>
      <c r="N12" s="33">
        <v>3</v>
      </c>
    </row>
    <row r="13" spans="1:14" ht="16" thickBot="1" x14ac:dyDescent="0.25">
      <c r="A13" s="516"/>
      <c r="B13" s="520" t="s">
        <v>0</v>
      </c>
      <c r="C13" s="521"/>
      <c r="D13" s="139" t="s">
        <v>267</v>
      </c>
      <c r="E13" s="135">
        <v>6</v>
      </c>
      <c r="F13" s="139" t="s">
        <v>268</v>
      </c>
      <c r="G13" s="134">
        <v>5</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0</v>
      </c>
      <c r="C16" s="30">
        <v>1</v>
      </c>
      <c r="D16">
        <v>0</v>
      </c>
      <c r="E16" s="30">
        <v>4</v>
      </c>
      <c r="F16">
        <v>7</v>
      </c>
      <c r="G16" s="31">
        <v>6</v>
      </c>
      <c r="H16" s="514"/>
      <c r="I16" s="1">
        <v>6</v>
      </c>
      <c r="J16" s="30">
        <v>1</v>
      </c>
      <c r="K16">
        <v>0</v>
      </c>
      <c r="L16" s="30">
        <v>0</v>
      </c>
      <c r="M16">
        <v>7</v>
      </c>
      <c r="N16" s="31">
        <v>4</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0</v>
      </c>
      <c r="C19" s="30">
        <v>15</v>
      </c>
      <c r="D19">
        <v>0</v>
      </c>
      <c r="E19" s="30">
        <v>60</v>
      </c>
      <c r="F19">
        <v>49</v>
      </c>
      <c r="G19" s="31">
        <v>90</v>
      </c>
      <c r="H19" s="514"/>
      <c r="I19" s="1">
        <v>42</v>
      </c>
      <c r="J19" s="30">
        <v>7</v>
      </c>
      <c r="K19">
        <v>0</v>
      </c>
      <c r="L19" s="30">
        <v>0</v>
      </c>
      <c r="M19">
        <v>28</v>
      </c>
      <c r="N19" s="31">
        <v>28</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v>2</v>
      </c>
      <c r="D22" s="4">
        <v>1</v>
      </c>
      <c r="E22" s="32">
        <v>2</v>
      </c>
      <c r="F22" s="4"/>
      <c r="G22" s="33"/>
      <c r="H22" s="515"/>
      <c r="I22" s="3"/>
      <c r="J22" s="32"/>
      <c r="K22" s="4">
        <v>2</v>
      </c>
      <c r="L22" s="32"/>
      <c r="M22" s="4"/>
      <c r="N22" s="33">
        <v>4</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0</v>
      </c>
      <c r="C26" s="35">
        <v>0</v>
      </c>
      <c r="D26" s="30">
        <v>0</v>
      </c>
      <c r="E26" s="35">
        <v>0</v>
      </c>
      <c r="F26" s="30">
        <v>0</v>
      </c>
      <c r="G26" s="31">
        <v>0</v>
      </c>
      <c r="H26" s="22" t="s">
        <v>32</v>
      </c>
      <c r="I26" s="30">
        <v>0</v>
      </c>
      <c r="J26" s="35">
        <v>0</v>
      </c>
      <c r="K26" s="30">
        <v>0</v>
      </c>
      <c r="L26" s="35">
        <v>0</v>
      </c>
      <c r="M26" s="30">
        <v>0</v>
      </c>
      <c r="N26" s="31">
        <v>0</v>
      </c>
    </row>
    <row r="27" spans="1:14" x14ac:dyDescent="0.2">
      <c r="A27" s="10" t="s">
        <v>33</v>
      </c>
      <c r="B27">
        <v>0</v>
      </c>
      <c r="C27" s="36">
        <v>0</v>
      </c>
      <c r="D27">
        <v>0</v>
      </c>
      <c r="E27" s="36">
        <v>0</v>
      </c>
      <c r="F27">
        <v>0</v>
      </c>
      <c r="G27" s="2">
        <v>0</v>
      </c>
      <c r="H27" s="22" t="s">
        <v>33</v>
      </c>
      <c r="I27">
        <v>0</v>
      </c>
      <c r="J27" s="36">
        <v>0</v>
      </c>
      <c r="K27">
        <v>0</v>
      </c>
      <c r="L27" s="36">
        <v>0</v>
      </c>
      <c r="M27">
        <v>1</v>
      </c>
      <c r="N27" s="2">
        <v>14</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284B-C2F4-4852-AD21-DC1AFAD105C6}">
  <sheetPr codeName="Sheet36">
    <tabColor theme="4"/>
    <pageSetUpPr fitToPage="1"/>
  </sheetPr>
  <dimension ref="A1:N25"/>
  <sheetViews>
    <sheetView workbookViewId="0">
      <selection activeCell="I19" sqref="I19"/>
    </sheetView>
  </sheetViews>
  <sheetFormatPr baseColWidth="10" defaultColWidth="8.83203125" defaultRowHeight="15" x14ac:dyDescent="0.2"/>
  <cols>
    <col min="1" max="1" width="4.83203125" bestFit="1" customWidth="1"/>
    <col min="2" max="2" width="12.5" bestFit="1" customWidth="1"/>
    <col min="3" max="3" width="9.83203125" bestFit="1" customWidth="1"/>
    <col min="4" max="4" width="14" bestFit="1" customWidth="1"/>
    <col min="5" max="5" width="10.33203125" bestFit="1" customWidth="1"/>
    <col min="6" max="6" width="17.5" bestFit="1" customWidth="1"/>
    <col min="7" max="7" width="9.33203125" bestFit="1" customWidth="1"/>
    <col min="8" max="8" width="4.83203125" bestFit="1" customWidth="1"/>
    <col min="9" max="9" width="12.5" bestFit="1" customWidth="1"/>
    <col min="10" max="10" width="9.83203125" bestFit="1" customWidth="1"/>
    <col min="11" max="11" width="14" bestFit="1" customWidth="1"/>
    <col min="12" max="12" width="10.33203125" bestFit="1" customWidth="1"/>
    <col min="13" max="13" width="17.5" bestFit="1" customWidth="1"/>
    <col min="14" max="14" width="11.83203125" bestFit="1" customWidth="1"/>
  </cols>
  <sheetData>
    <row r="1" spans="1:14" ht="16" thickBot="1" x14ac:dyDescent="0.25">
      <c r="A1" s="512" t="s">
        <v>325</v>
      </c>
      <c r="B1" s="513"/>
      <c r="C1" s="513"/>
      <c r="D1" s="513"/>
      <c r="E1" s="513"/>
      <c r="F1" s="513"/>
      <c r="G1" s="513"/>
      <c r="H1" s="145">
        <v>30</v>
      </c>
      <c r="I1" s="144" t="s">
        <v>302</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395</v>
      </c>
      <c r="C3" s="424"/>
      <c r="D3" s="424"/>
      <c r="E3" s="424"/>
      <c r="F3" s="424"/>
      <c r="G3" s="425"/>
      <c r="H3" s="514"/>
      <c r="I3" s="411" t="s">
        <v>395</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238" t="s">
        <v>5</v>
      </c>
      <c r="C5" s="229">
        <v>0</v>
      </c>
      <c r="D5" s="239" t="s">
        <v>263</v>
      </c>
      <c r="E5" s="229">
        <v>0</v>
      </c>
      <c r="F5" s="239" t="s">
        <v>5</v>
      </c>
      <c r="G5" s="232">
        <v>0</v>
      </c>
      <c r="H5" s="514"/>
      <c r="I5" s="253" t="s">
        <v>5</v>
      </c>
      <c r="J5" s="229">
        <v>0</v>
      </c>
      <c r="K5" s="254" t="s">
        <v>263</v>
      </c>
      <c r="L5" s="229">
        <v>42</v>
      </c>
      <c r="M5" s="254" t="s">
        <v>5</v>
      </c>
      <c r="N5" s="232">
        <v>0</v>
      </c>
    </row>
    <row r="6" spans="1:14" x14ac:dyDescent="0.2">
      <c r="A6" s="516"/>
      <c r="B6" s="240" t="s">
        <v>6</v>
      </c>
      <c r="C6" s="219">
        <v>0</v>
      </c>
      <c r="D6" s="241" t="s">
        <v>5</v>
      </c>
      <c r="E6" s="219">
        <v>0</v>
      </c>
      <c r="F6" s="241" t="s">
        <v>6</v>
      </c>
      <c r="G6" s="220">
        <v>0</v>
      </c>
      <c r="H6" s="514"/>
      <c r="I6" s="256" t="s">
        <v>6</v>
      </c>
      <c r="J6" s="219">
        <v>0</v>
      </c>
      <c r="K6" s="257" t="s">
        <v>329</v>
      </c>
      <c r="L6" s="219">
        <v>0</v>
      </c>
      <c r="M6" s="257" t="s">
        <v>6</v>
      </c>
      <c r="N6" s="220">
        <v>0</v>
      </c>
    </row>
    <row r="7" spans="1:14" ht="16" thickBot="1" x14ac:dyDescent="0.25">
      <c r="A7" s="516"/>
      <c r="B7" s="242" t="s">
        <v>7</v>
      </c>
      <c r="C7" s="222" t="s">
        <v>197</v>
      </c>
      <c r="D7" s="243" t="s">
        <v>7</v>
      </c>
      <c r="E7" s="222">
        <v>0</v>
      </c>
      <c r="F7" s="243" t="s">
        <v>7</v>
      </c>
      <c r="G7" s="233">
        <v>0</v>
      </c>
      <c r="H7" s="514"/>
      <c r="I7" s="258" t="s">
        <v>7</v>
      </c>
      <c r="J7" s="222" t="s">
        <v>197</v>
      </c>
      <c r="K7" s="259" t="s">
        <v>7</v>
      </c>
      <c r="L7" s="222">
        <v>42</v>
      </c>
      <c r="M7" s="259" t="s">
        <v>7</v>
      </c>
      <c r="N7" s="233">
        <v>14</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238" t="s">
        <v>17</v>
      </c>
      <c r="G9" s="231">
        <v>30</v>
      </c>
      <c r="H9" s="514"/>
      <c r="I9" s="532" t="s">
        <v>8</v>
      </c>
      <c r="J9" s="533"/>
      <c r="K9" s="533" t="s">
        <v>10</v>
      </c>
      <c r="L9" s="533"/>
      <c r="M9" s="253" t="s">
        <v>17</v>
      </c>
      <c r="N9" s="231">
        <v>30</v>
      </c>
    </row>
    <row r="10" spans="1:14" x14ac:dyDescent="0.2">
      <c r="A10" s="516"/>
      <c r="B10" s="240" t="s">
        <v>5</v>
      </c>
      <c r="C10" s="212">
        <v>0</v>
      </c>
      <c r="D10" s="241" t="s">
        <v>5</v>
      </c>
      <c r="E10" s="212">
        <v>0</v>
      </c>
      <c r="F10" s="240" t="s">
        <v>18</v>
      </c>
      <c r="G10" s="220">
        <v>4</v>
      </c>
      <c r="H10" s="514"/>
      <c r="I10" s="256" t="s">
        <v>5</v>
      </c>
      <c r="J10" s="212">
        <v>0</v>
      </c>
      <c r="K10" s="257" t="s">
        <v>5</v>
      </c>
      <c r="L10" s="212">
        <v>0</v>
      </c>
      <c r="M10" s="256" t="s">
        <v>18</v>
      </c>
      <c r="N10" s="220">
        <v>4</v>
      </c>
    </row>
    <row r="11" spans="1:14" x14ac:dyDescent="0.2">
      <c r="A11" s="516"/>
      <c r="B11" s="240" t="s">
        <v>6</v>
      </c>
      <c r="C11" s="219">
        <v>0</v>
      </c>
      <c r="D11" s="241" t="s">
        <v>6</v>
      </c>
      <c r="E11" s="219">
        <v>0</v>
      </c>
      <c r="F11" s="240" t="s">
        <v>354</v>
      </c>
      <c r="G11" s="232">
        <v>10</v>
      </c>
      <c r="H11" s="514"/>
      <c r="I11" s="256" t="s">
        <v>6</v>
      </c>
      <c r="J11" s="219">
        <v>0</v>
      </c>
      <c r="K11" s="257" t="s">
        <v>6</v>
      </c>
      <c r="L11" s="219">
        <v>0</v>
      </c>
      <c r="M11" s="256" t="s">
        <v>19</v>
      </c>
      <c r="N11" s="232">
        <v>5</v>
      </c>
    </row>
    <row r="12" spans="1:14" ht="16" thickBot="1" x14ac:dyDescent="0.25">
      <c r="A12" s="516"/>
      <c r="B12" s="242" t="s">
        <v>7</v>
      </c>
      <c r="C12" s="222">
        <v>0</v>
      </c>
      <c r="D12" s="243" t="s">
        <v>7</v>
      </c>
      <c r="E12" s="222">
        <v>0</v>
      </c>
      <c r="F12" s="242" t="s">
        <v>353</v>
      </c>
      <c r="G12" s="223">
        <v>3</v>
      </c>
      <c r="H12" s="514"/>
      <c r="I12" s="258" t="s">
        <v>7</v>
      </c>
      <c r="J12" s="222">
        <v>1</v>
      </c>
      <c r="K12" s="259" t="s">
        <v>7</v>
      </c>
      <c r="L12" s="222">
        <v>1</v>
      </c>
      <c r="M12" s="258" t="s">
        <v>20</v>
      </c>
      <c r="N12" s="223">
        <v>3</v>
      </c>
    </row>
    <row r="13" spans="1:14" ht="16" thickBot="1" x14ac:dyDescent="0.25">
      <c r="A13" s="516"/>
      <c r="B13" s="520" t="s">
        <v>0</v>
      </c>
      <c r="C13" s="521"/>
      <c r="D13" s="244" t="s">
        <v>267</v>
      </c>
      <c r="E13" s="230">
        <v>6</v>
      </c>
      <c r="F13" s="244" t="s">
        <v>268</v>
      </c>
      <c r="G13" s="206">
        <v>5</v>
      </c>
      <c r="H13" s="514"/>
      <c r="I13" s="523" t="s">
        <v>0</v>
      </c>
      <c r="J13" s="524"/>
      <c r="K13" s="261" t="s">
        <v>267</v>
      </c>
      <c r="L13" s="230">
        <v>15</v>
      </c>
      <c r="M13" s="261" t="s">
        <v>268</v>
      </c>
      <c r="N13" s="206">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213" t="s">
        <v>263</v>
      </c>
      <c r="C15" s="214" t="s">
        <v>132</v>
      </c>
      <c r="D15" s="214" t="s">
        <v>264</v>
      </c>
      <c r="E15" s="214" t="s">
        <v>22</v>
      </c>
      <c r="F15" s="214" t="s">
        <v>259</v>
      </c>
      <c r="G15" s="215" t="s">
        <v>97</v>
      </c>
      <c r="H15" s="514"/>
      <c r="I15" s="262" t="s">
        <v>263</v>
      </c>
      <c r="J15" s="263" t="s">
        <v>132</v>
      </c>
      <c r="K15" s="263" t="s">
        <v>264</v>
      </c>
      <c r="L15" s="263" t="s">
        <v>22</v>
      </c>
      <c r="M15" s="263" t="s">
        <v>259</v>
      </c>
      <c r="N15" s="264" t="s">
        <v>97</v>
      </c>
    </row>
    <row r="16" spans="1:14" ht="16" thickBot="1" x14ac:dyDescent="0.25">
      <c r="A16" s="516"/>
      <c r="B16" s="168">
        <v>0</v>
      </c>
      <c r="C16" s="219">
        <v>1</v>
      </c>
      <c r="D16" s="212">
        <v>0</v>
      </c>
      <c r="E16" s="219">
        <v>4</v>
      </c>
      <c r="F16" s="212">
        <v>7</v>
      </c>
      <c r="G16" s="220">
        <v>6</v>
      </c>
      <c r="H16" s="514"/>
      <c r="I16" s="168">
        <v>6</v>
      </c>
      <c r="J16" s="219">
        <v>1</v>
      </c>
      <c r="K16" s="212">
        <v>0</v>
      </c>
      <c r="L16" s="219">
        <v>0</v>
      </c>
      <c r="M16" s="212">
        <v>7</v>
      </c>
      <c r="N16" s="220">
        <v>4</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213" t="s">
        <v>263</v>
      </c>
      <c r="C18" s="214" t="s">
        <v>132</v>
      </c>
      <c r="D18" s="214" t="s">
        <v>264</v>
      </c>
      <c r="E18" s="214" t="s">
        <v>22</v>
      </c>
      <c r="F18" s="214" t="s">
        <v>259</v>
      </c>
      <c r="G18" s="215" t="s">
        <v>97</v>
      </c>
      <c r="H18" s="514"/>
      <c r="I18" s="262" t="s">
        <v>263</v>
      </c>
      <c r="J18" s="263" t="s">
        <v>132</v>
      </c>
      <c r="K18" s="263" t="s">
        <v>264</v>
      </c>
      <c r="L18" s="263" t="s">
        <v>22</v>
      </c>
      <c r="M18" s="263" t="s">
        <v>259</v>
      </c>
      <c r="N18" s="264" t="s">
        <v>97</v>
      </c>
    </row>
    <row r="19" spans="1:14" ht="16" thickBot="1" x14ac:dyDescent="0.25">
      <c r="A19" s="516"/>
      <c r="B19" s="168">
        <v>0</v>
      </c>
      <c r="C19" s="219">
        <v>15</v>
      </c>
      <c r="D19" s="212">
        <v>0</v>
      </c>
      <c r="E19" s="219">
        <v>60</v>
      </c>
      <c r="F19" s="212">
        <v>49</v>
      </c>
      <c r="G19" s="220">
        <v>90</v>
      </c>
      <c r="H19" s="514"/>
      <c r="I19" s="168">
        <v>42</v>
      </c>
      <c r="J19" s="219">
        <v>7</v>
      </c>
      <c r="K19" s="212">
        <v>0</v>
      </c>
      <c r="L19" s="219">
        <v>0</v>
      </c>
      <c r="M19" s="212">
        <v>28</v>
      </c>
      <c r="N19" s="220">
        <v>28</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213" t="s">
        <v>266</v>
      </c>
      <c r="C21" s="214" t="s">
        <v>45</v>
      </c>
      <c r="D21" s="214" t="s">
        <v>15</v>
      </c>
      <c r="E21" s="214" t="s">
        <v>14</v>
      </c>
      <c r="F21" s="214" t="s">
        <v>42</v>
      </c>
      <c r="G21" s="215" t="s">
        <v>44</v>
      </c>
      <c r="H21" s="514"/>
      <c r="I21" s="216" t="s">
        <v>266</v>
      </c>
      <c r="J21" s="217" t="s">
        <v>45</v>
      </c>
      <c r="K21" s="217" t="s">
        <v>15</v>
      </c>
      <c r="L21" s="217" t="s">
        <v>14</v>
      </c>
      <c r="M21" s="217" t="s">
        <v>41</v>
      </c>
      <c r="N21" s="218" t="s">
        <v>43</v>
      </c>
    </row>
    <row r="22" spans="1:14" ht="16" thickBot="1" x14ac:dyDescent="0.25">
      <c r="A22" s="517"/>
      <c r="B22" s="186"/>
      <c r="C22" s="221">
        <v>2</v>
      </c>
      <c r="D22" s="222">
        <v>1</v>
      </c>
      <c r="E22" s="221">
        <v>2</v>
      </c>
      <c r="F22" s="222"/>
      <c r="G22" s="223"/>
      <c r="H22" s="515"/>
      <c r="I22" s="186"/>
      <c r="J22" s="221"/>
      <c r="K22" s="222">
        <v>2</v>
      </c>
      <c r="L22" s="221"/>
      <c r="M22" s="222"/>
      <c r="N22" s="223">
        <v>4</v>
      </c>
    </row>
    <row r="23" spans="1:14" x14ac:dyDescent="0.2">
      <c r="A23" s="426" t="s">
        <v>23</v>
      </c>
      <c r="B23" s="424"/>
      <c r="C23" s="424"/>
      <c r="D23" s="424"/>
      <c r="E23" s="424"/>
      <c r="F23" s="424"/>
      <c r="G23" s="425"/>
      <c r="H23" s="411" t="s">
        <v>23</v>
      </c>
      <c r="I23" s="409"/>
      <c r="J23" s="409"/>
      <c r="K23" s="409"/>
      <c r="L23" s="409"/>
      <c r="M23" s="409"/>
      <c r="N23" s="410"/>
    </row>
    <row r="24" spans="1:14" x14ac:dyDescent="0.2">
      <c r="A24" s="213" t="s">
        <v>24</v>
      </c>
      <c r="B24" s="214" t="s">
        <v>25</v>
      </c>
      <c r="C24" s="214" t="s">
        <v>28</v>
      </c>
      <c r="D24" s="214" t="s">
        <v>26</v>
      </c>
      <c r="E24" s="214" t="s">
        <v>30</v>
      </c>
      <c r="F24" s="214" t="s">
        <v>27</v>
      </c>
      <c r="G24" s="215" t="s">
        <v>29</v>
      </c>
      <c r="H24" s="216" t="s">
        <v>24</v>
      </c>
      <c r="I24" s="217" t="s">
        <v>25</v>
      </c>
      <c r="J24" s="217" t="s">
        <v>28</v>
      </c>
      <c r="K24" s="217" t="s">
        <v>26</v>
      </c>
      <c r="L24" s="217" t="s">
        <v>30</v>
      </c>
      <c r="M24" s="217" t="s">
        <v>27</v>
      </c>
      <c r="N24" s="218" t="s">
        <v>29</v>
      </c>
    </row>
    <row r="25" spans="1:14" x14ac:dyDescent="0.2">
      <c r="A25" s="271" t="s">
        <v>33</v>
      </c>
      <c r="B25" s="224">
        <v>0</v>
      </c>
      <c r="C25" s="225">
        <v>0</v>
      </c>
      <c r="D25" s="224">
        <v>0</v>
      </c>
      <c r="E25" s="225">
        <v>0</v>
      </c>
      <c r="F25" s="224">
        <v>0</v>
      </c>
      <c r="G25" s="226">
        <v>0</v>
      </c>
      <c r="H25" s="272" t="s">
        <v>33</v>
      </c>
      <c r="I25" s="224">
        <v>0</v>
      </c>
      <c r="J25" s="225">
        <v>0</v>
      </c>
      <c r="K25" s="224">
        <v>0</v>
      </c>
      <c r="L25" s="225">
        <v>0</v>
      </c>
      <c r="M25" s="224">
        <v>1</v>
      </c>
      <c r="N25" s="226">
        <v>14</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rintOptions horizontalCentered="1"/>
  <pageMargins left="0.70866141732283472" right="0.70866141732283472" top="0.74803149606299213" bottom="0.74803149606299213" header="0.31496062992125984" footer="0.31496062992125984"/>
  <pageSetup paperSize="5" fitToHeight="0" orientation="landscape"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EDCF3-F915-4AC5-A90B-34F79917B566}">
  <sheetPr codeName="Sheet26">
    <tabColor theme="4"/>
  </sheetPr>
  <dimension ref="A1:N26"/>
  <sheetViews>
    <sheetView workbookViewId="0">
      <selection activeCell="S36" sqref="S36"/>
    </sheetView>
  </sheetViews>
  <sheetFormatPr baseColWidth="10" defaultColWidth="8.83203125" defaultRowHeight="15" x14ac:dyDescent="0.2"/>
  <sheetData>
    <row r="1" spans="1:14" ht="16" thickBot="1" x14ac:dyDescent="0.25">
      <c r="A1" s="512" t="s">
        <v>325</v>
      </c>
      <c r="B1" s="513"/>
      <c r="C1" s="513"/>
      <c r="D1" s="513"/>
      <c r="E1" s="513"/>
      <c r="F1" s="513"/>
      <c r="G1" s="513"/>
      <c r="H1" s="145">
        <v>29</v>
      </c>
      <c r="I1" s="144" t="s">
        <v>301</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0</v>
      </c>
      <c r="D5" s="12" t="s">
        <v>263</v>
      </c>
      <c r="E5" s="165">
        <v>184</v>
      </c>
      <c r="F5" s="12" t="s">
        <v>5</v>
      </c>
      <c r="G5" s="164">
        <v>0</v>
      </c>
      <c r="H5" s="514"/>
      <c r="I5" s="21" t="s">
        <v>5</v>
      </c>
      <c r="J5" s="165">
        <v>565</v>
      </c>
      <c r="K5" s="24" t="s">
        <v>263</v>
      </c>
      <c r="L5" s="165">
        <v>202</v>
      </c>
      <c r="M5" s="24" t="s">
        <v>5</v>
      </c>
      <c r="N5" s="164">
        <v>614</v>
      </c>
    </row>
    <row r="6" spans="1:14" x14ac:dyDescent="0.2">
      <c r="A6" s="516"/>
      <c r="B6" s="10" t="s">
        <v>6</v>
      </c>
      <c r="C6" s="30">
        <v>0</v>
      </c>
      <c r="D6" s="13" t="s">
        <v>5</v>
      </c>
      <c r="E6" s="30">
        <v>0</v>
      </c>
      <c r="F6" s="13" t="s">
        <v>6</v>
      </c>
      <c r="G6" s="31">
        <v>0</v>
      </c>
      <c r="H6" s="514"/>
      <c r="I6" s="22" t="s">
        <v>6</v>
      </c>
      <c r="J6" s="30">
        <v>532</v>
      </c>
      <c r="K6" s="25" t="s">
        <v>329</v>
      </c>
      <c r="L6" s="30">
        <v>202</v>
      </c>
      <c r="M6" s="25" t="s">
        <v>6</v>
      </c>
      <c r="N6" s="31">
        <v>581</v>
      </c>
    </row>
    <row r="7" spans="1:14" ht="16" thickBot="1" x14ac:dyDescent="0.25">
      <c r="A7" s="516"/>
      <c r="B7" s="11" t="s">
        <v>7</v>
      </c>
      <c r="C7" s="4" t="s">
        <v>197</v>
      </c>
      <c r="D7" s="14" t="s">
        <v>7</v>
      </c>
      <c r="E7" s="4">
        <v>184</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29</v>
      </c>
      <c r="H9" s="514"/>
      <c r="I9" s="532" t="s">
        <v>8</v>
      </c>
      <c r="J9" s="533"/>
      <c r="K9" s="533" t="s">
        <v>10</v>
      </c>
      <c r="L9" s="533"/>
      <c r="M9" s="21" t="s">
        <v>17</v>
      </c>
      <c r="N9" s="2">
        <v>29</v>
      </c>
    </row>
    <row r="10" spans="1:14" x14ac:dyDescent="0.2">
      <c r="A10" s="516"/>
      <c r="B10" s="10" t="s">
        <v>5</v>
      </c>
      <c r="C10">
        <v>0</v>
      </c>
      <c r="D10" s="13" t="s">
        <v>5</v>
      </c>
      <c r="E10">
        <v>0</v>
      </c>
      <c r="F10" s="10" t="s">
        <v>18</v>
      </c>
      <c r="G10" s="31">
        <v>4.5</v>
      </c>
      <c r="H10" s="514"/>
      <c r="I10" s="22" t="s">
        <v>5</v>
      </c>
      <c r="J10">
        <v>117</v>
      </c>
      <c r="K10" s="25" t="s">
        <v>5</v>
      </c>
      <c r="L10">
        <v>0</v>
      </c>
      <c r="M10" s="22" t="s">
        <v>18</v>
      </c>
      <c r="N10" s="31">
        <v>4.5</v>
      </c>
    </row>
    <row r="11" spans="1:14" x14ac:dyDescent="0.2">
      <c r="A11" s="516"/>
      <c r="B11" s="10" t="s">
        <v>6</v>
      </c>
      <c r="C11" s="30">
        <v>0</v>
      </c>
      <c r="D11" s="13" t="s">
        <v>6</v>
      </c>
      <c r="E11" s="30">
        <v>0</v>
      </c>
      <c r="F11" s="10" t="s">
        <v>354</v>
      </c>
      <c r="G11" s="164">
        <v>12</v>
      </c>
      <c r="H11" s="514"/>
      <c r="I11" s="22" t="s">
        <v>6</v>
      </c>
      <c r="J11" s="30">
        <v>98</v>
      </c>
      <c r="K11" s="25" t="s">
        <v>6</v>
      </c>
      <c r="L11" s="30">
        <v>0</v>
      </c>
      <c r="M11" s="22" t="s">
        <v>19</v>
      </c>
      <c r="N11" s="164">
        <v>9</v>
      </c>
    </row>
    <row r="12" spans="1:14" ht="16" thickBot="1" x14ac:dyDescent="0.25">
      <c r="A12" s="516"/>
      <c r="B12" s="11" t="s">
        <v>7</v>
      </c>
      <c r="C12" s="4">
        <v>1</v>
      </c>
      <c r="D12" s="14" t="s">
        <v>7</v>
      </c>
      <c r="E12" s="4">
        <v>1</v>
      </c>
      <c r="F12" s="11" t="s">
        <v>353</v>
      </c>
      <c r="G12" s="33">
        <v>4</v>
      </c>
      <c r="H12" s="514"/>
      <c r="I12" s="23" t="s">
        <v>7</v>
      </c>
      <c r="J12" s="4">
        <v>0</v>
      </c>
      <c r="K12" s="26" t="s">
        <v>7</v>
      </c>
      <c r="L12" s="4">
        <v>0</v>
      </c>
      <c r="M12" s="23" t="s">
        <v>20</v>
      </c>
      <c r="N12" s="33">
        <v>3</v>
      </c>
    </row>
    <row r="13" spans="1:14" ht="16" thickBot="1" x14ac:dyDescent="0.25">
      <c r="A13" s="516"/>
      <c r="B13" s="520" t="s">
        <v>0</v>
      </c>
      <c r="C13" s="521"/>
      <c r="D13" s="139" t="s">
        <v>267</v>
      </c>
      <c r="E13" s="135">
        <v>7</v>
      </c>
      <c r="F13" s="139" t="s">
        <v>268</v>
      </c>
      <c r="G13" s="134">
        <v>5</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16</v>
      </c>
      <c r="C16" s="30">
        <v>2</v>
      </c>
      <c r="D16">
        <v>0</v>
      </c>
      <c r="E16" s="30">
        <v>0</v>
      </c>
      <c r="F16">
        <v>4</v>
      </c>
      <c r="G16" s="31">
        <v>6</v>
      </c>
      <c r="H16" s="514"/>
      <c r="I16" s="1">
        <v>22</v>
      </c>
      <c r="J16" s="30">
        <v>3</v>
      </c>
      <c r="K16">
        <v>2</v>
      </c>
      <c r="L16" s="30">
        <v>1</v>
      </c>
      <c r="M16">
        <v>5</v>
      </c>
      <c r="N16" s="31">
        <v>0</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184</v>
      </c>
      <c r="C19" s="30">
        <v>25</v>
      </c>
      <c r="D19">
        <v>0</v>
      </c>
      <c r="E19" s="30">
        <v>0</v>
      </c>
      <c r="F19">
        <v>35</v>
      </c>
      <c r="G19" s="31">
        <v>78</v>
      </c>
      <c r="H19" s="514"/>
      <c r="I19" s="1">
        <v>202</v>
      </c>
      <c r="J19" s="30">
        <v>29</v>
      </c>
      <c r="K19">
        <v>18</v>
      </c>
      <c r="L19" s="30">
        <v>9</v>
      </c>
      <c r="M19">
        <v>33</v>
      </c>
      <c r="N19" s="31">
        <v>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4</v>
      </c>
      <c r="D22" s="4">
        <v>0</v>
      </c>
      <c r="E22" s="32">
        <v>3</v>
      </c>
      <c r="F22" s="4">
        <v>0</v>
      </c>
      <c r="G22" s="33">
        <v>2</v>
      </c>
      <c r="H22" s="515"/>
      <c r="I22" s="3"/>
      <c r="J22" s="32">
        <v>3</v>
      </c>
      <c r="K22" s="4">
        <v>2</v>
      </c>
      <c r="L22" s="32">
        <v>1</v>
      </c>
      <c r="M22" s="4"/>
      <c r="N22" s="33">
        <v>3</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10" t="s">
        <v>32</v>
      </c>
      <c r="B25" s="30">
        <v>0</v>
      </c>
      <c r="C25" s="35">
        <v>0</v>
      </c>
      <c r="D25" s="30">
        <v>0</v>
      </c>
      <c r="E25" s="35">
        <v>0</v>
      </c>
      <c r="F25" s="30">
        <v>0</v>
      </c>
      <c r="G25" s="31">
        <v>0</v>
      </c>
      <c r="H25" s="22" t="s">
        <v>32</v>
      </c>
      <c r="I25" s="30">
        <v>8</v>
      </c>
      <c r="J25" s="35">
        <v>66</v>
      </c>
      <c r="K25" s="30">
        <v>8</v>
      </c>
      <c r="L25" s="35">
        <v>66</v>
      </c>
      <c r="M25" s="30">
        <v>0</v>
      </c>
      <c r="N25" s="31">
        <v>0</v>
      </c>
    </row>
    <row r="26" spans="1:14" x14ac:dyDescent="0.2">
      <c r="A26" s="98" t="s">
        <v>37</v>
      </c>
      <c r="B26" s="169">
        <v>0</v>
      </c>
      <c r="C26" s="170">
        <v>0</v>
      </c>
      <c r="D26" s="169">
        <v>0</v>
      </c>
      <c r="E26" s="170">
        <v>0</v>
      </c>
      <c r="F26" s="169">
        <v>1</v>
      </c>
      <c r="G26" s="171">
        <v>32</v>
      </c>
      <c r="H26" s="101" t="s">
        <v>37</v>
      </c>
      <c r="I26" s="169">
        <v>109</v>
      </c>
      <c r="J26" s="170">
        <v>548</v>
      </c>
      <c r="K26" s="169">
        <v>90</v>
      </c>
      <c r="L26" s="170">
        <v>515</v>
      </c>
      <c r="M26" s="169">
        <v>0</v>
      </c>
      <c r="N26" s="171">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ABBC4-1111-406C-9754-E4D25AFF1D94}">
  <sheetPr codeName="Sheet27">
    <tabColor theme="4"/>
  </sheetPr>
  <dimension ref="A1:N26"/>
  <sheetViews>
    <sheetView workbookViewId="0">
      <selection activeCell="M33" sqref="M33"/>
    </sheetView>
  </sheetViews>
  <sheetFormatPr baseColWidth="10" defaultColWidth="8.83203125" defaultRowHeight="15" x14ac:dyDescent="0.2"/>
  <cols>
    <col min="14" max="14" width="12.6640625" customWidth="1"/>
  </cols>
  <sheetData>
    <row r="1" spans="1:14" ht="16" thickBot="1" x14ac:dyDescent="0.25">
      <c r="A1" s="512" t="s">
        <v>325</v>
      </c>
      <c r="B1" s="513"/>
      <c r="C1" s="513"/>
      <c r="D1" s="513"/>
      <c r="E1" s="513"/>
      <c r="F1" s="513"/>
      <c r="G1" s="513"/>
      <c r="H1" s="145">
        <v>28</v>
      </c>
      <c r="I1" s="144" t="s">
        <v>300</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8</v>
      </c>
      <c r="D5" s="12" t="s">
        <v>263</v>
      </c>
      <c r="E5" s="165">
        <v>172</v>
      </c>
      <c r="F5" s="12" t="s">
        <v>5</v>
      </c>
      <c r="G5" s="164">
        <v>0</v>
      </c>
      <c r="H5" s="514"/>
      <c r="I5" s="21" t="s">
        <v>5</v>
      </c>
      <c r="J5" s="165">
        <v>18</v>
      </c>
      <c r="K5" s="24" t="s">
        <v>263</v>
      </c>
      <c r="L5" s="165">
        <v>228</v>
      </c>
      <c r="M5" s="24" t="s">
        <v>5</v>
      </c>
      <c r="N5" s="164">
        <v>52</v>
      </c>
    </row>
    <row r="6" spans="1:14" x14ac:dyDescent="0.2">
      <c r="A6" s="516"/>
      <c r="B6" s="10" t="s">
        <v>6</v>
      </c>
      <c r="C6" s="30">
        <v>0</v>
      </c>
      <c r="D6" s="13" t="s">
        <v>5</v>
      </c>
      <c r="E6" s="30">
        <v>172</v>
      </c>
      <c r="F6" s="13" t="s">
        <v>6</v>
      </c>
      <c r="G6" s="31">
        <v>0</v>
      </c>
      <c r="H6" s="514"/>
      <c r="I6" s="22" t="s">
        <v>6</v>
      </c>
      <c r="J6" s="30">
        <v>0</v>
      </c>
      <c r="K6" s="25" t="s">
        <v>329</v>
      </c>
      <c r="L6" s="30">
        <v>159.6</v>
      </c>
      <c r="M6" s="25" t="s">
        <v>6</v>
      </c>
      <c r="N6" s="31">
        <v>0</v>
      </c>
    </row>
    <row r="7" spans="1:14" ht="16" thickBot="1" x14ac:dyDescent="0.25">
      <c r="A7" s="516"/>
      <c r="B7" s="11" t="s">
        <v>7</v>
      </c>
      <c r="C7" s="4" t="s">
        <v>197</v>
      </c>
      <c r="D7" s="14" t="s">
        <v>7</v>
      </c>
      <c r="E7" s="4">
        <v>0</v>
      </c>
      <c r="F7" s="14" t="s">
        <v>7</v>
      </c>
      <c r="G7" s="5">
        <v>0</v>
      </c>
      <c r="H7" s="514"/>
      <c r="I7" s="23" t="s">
        <v>7</v>
      </c>
      <c r="J7" s="4" t="s">
        <v>197</v>
      </c>
      <c r="K7" s="26" t="s">
        <v>7</v>
      </c>
      <c r="L7" s="4">
        <v>68.399999999999991</v>
      </c>
      <c r="M7" s="26" t="s">
        <v>7</v>
      </c>
      <c r="N7" s="5">
        <v>10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28</v>
      </c>
      <c r="H9" s="514"/>
      <c r="I9" s="532" t="s">
        <v>8</v>
      </c>
      <c r="J9" s="533"/>
      <c r="K9" s="533" t="s">
        <v>10</v>
      </c>
      <c r="L9" s="533"/>
      <c r="M9" s="21" t="s">
        <v>17</v>
      </c>
      <c r="N9" s="2">
        <v>28</v>
      </c>
    </row>
    <row r="10" spans="1:14" x14ac:dyDescent="0.2">
      <c r="A10" s="516"/>
      <c r="B10" s="10" t="s">
        <v>5</v>
      </c>
      <c r="C10">
        <v>42</v>
      </c>
      <c r="D10" s="13" t="s">
        <v>5</v>
      </c>
      <c r="E10">
        <v>4</v>
      </c>
      <c r="F10" s="10" t="s">
        <v>18</v>
      </c>
      <c r="G10" s="31">
        <v>5</v>
      </c>
      <c r="H10" s="514"/>
      <c r="I10" s="22" t="s">
        <v>5</v>
      </c>
      <c r="J10">
        <v>6</v>
      </c>
      <c r="K10" s="25" t="s">
        <v>5</v>
      </c>
      <c r="L10">
        <v>6</v>
      </c>
      <c r="M10" s="22" t="s">
        <v>18</v>
      </c>
      <c r="N10" s="31">
        <v>5</v>
      </c>
    </row>
    <row r="11" spans="1:14" x14ac:dyDescent="0.2">
      <c r="A11" s="516"/>
      <c r="B11" s="10" t="s">
        <v>6</v>
      </c>
      <c r="C11" s="30">
        <v>38</v>
      </c>
      <c r="D11" s="13" t="s">
        <v>6</v>
      </c>
      <c r="E11" s="30">
        <v>0</v>
      </c>
      <c r="F11" s="10" t="s">
        <v>354</v>
      </c>
      <c r="G11" s="164">
        <v>14</v>
      </c>
      <c r="H11" s="514"/>
      <c r="I11" s="22" t="s">
        <v>6</v>
      </c>
      <c r="J11" s="30">
        <v>0</v>
      </c>
      <c r="K11" s="25" t="s">
        <v>6</v>
      </c>
      <c r="L11" s="30">
        <v>0</v>
      </c>
      <c r="M11" s="22" t="s">
        <v>19</v>
      </c>
      <c r="N11" s="164">
        <v>10</v>
      </c>
    </row>
    <row r="12" spans="1:14" ht="16" thickBot="1" x14ac:dyDescent="0.25">
      <c r="A12" s="516"/>
      <c r="B12" s="11" t="s">
        <v>7</v>
      </c>
      <c r="C12" s="4">
        <v>0</v>
      </c>
      <c r="D12" s="14" t="s">
        <v>7</v>
      </c>
      <c r="E12" s="4">
        <v>0</v>
      </c>
      <c r="F12" s="11" t="s">
        <v>353</v>
      </c>
      <c r="G12" s="33">
        <v>2</v>
      </c>
      <c r="H12" s="514"/>
      <c r="I12" s="23" t="s">
        <v>7</v>
      </c>
      <c r="J12" s="4">
        <v>1</v>
      </c>
      <c r="K12" s="26" t="s">
        <v>7</v>
      </c>
      <c r="L12" s="4">
        <v>1</v>
      </c>
      <c r="M12" s="23" t="s">
        <v>20</v>
      </c>
      <c r="N12" s="33"/>
    </row>
    <row r="13" spans="1:14" ht="16" thickBot="1" x14ac:dyDescent="0.25">
      <c r="A13" s="516"/>
      <c r="B13" s="520" t="s">
        <v>0</v>
      </c>
      <c r="C13" s="521"/>
      <c r="D13" s="139" t="s">
        <v>267</v>
      </c>
      <c r="E13" s="135">
        <v>9</v>
      </c>
      <c r="F13" s="139" t="s">
        <v>268</v>
      </c>
      <c r="G13" s="134">
        <v>5</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16</v>
      </c>
      <c r="C16" s="30">
        <v>3</v>
      </c>
      <c r="D16">
        <v>0</v>
      </c>
      <c r="E16" s="30">
        <v>0</v>
      </c>
      <c r="F16">
        <v>1</v>
      </c>
      <c r="G16" s="31">
        <v>8</v>
      </c>
      <c r="H16" s="514"/>
      <c r="I16" s="1">
        <v>24</v>
      </c>
      <c r="J16" s="30">
        <v>4</v>
      </c>
      <c r="K16">
        <v>4</v>
      </c>
      <c r="L16" s="30">
        <v>1</v>
      </c>
      <c r="M16">
        <v>2</v>
      </c>
      <c r="N16" s="31">
        <v>0</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172</v>
      </c>
      <c r="C19" s="30">
        <v>28</v>
      </c>
      <c r="D19">
        <v>0</v>
      </c>
      <c r="E19" s="30">
        <v>0</v>
      </c>
      <c r="F19">
        <v>15</v>
      </c>
      <c r="G19" s="31">
        <v>86</v>
      </c>
      <c r="H19" s="514"/>
      <c r="I19" s="1">
        <v>228</v>
      </c>
      <c r="J19" s="30">
        <v>38</v>
      </c>
      <c r="K19">
        <v>40</v>
      </c>
      <c r="L19" s="30">
        <v>10</v>
      </c>
      <c r="M19">
        <v>20</v>
      </c>
      <c r="N19" s="31">
        <v>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6</v>
      </c>
      <c r="D22" s="4">
        <v>6</v>
      </c>
      <c r="E22" s="32">
        <v>3</v>
      </c>
      <c r="F22" s="4">
        <v>0</v>
      </c>
      <c r="G22" s="33">
        <v>0</v>
      </c>
      <c r="H22" s="515"/>
      <c r="I22" s="3">
        <v>0</v>
      </c>
      <c r="J22" s="32">
        <v>0</v>
      </c>
      <c r="K22" s="4">
        <v>3</v>
      </c>
      <c r="L22" s="32">
        <v>2</v>
      </c>
      <c r="M22" s="4">
        <v>0</v>
      </c>
      <c r="N22" s="3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10" t="s">
        <v>32</v>
      </c>
      <c r="B25" s="30">
        <v>4</v>
      </c>
      <c r="C25" s="35">
        <v>0</v>
      </c>
      <c r="D25" s="30">
        <v>0</v>
      </c>
      <c r="E25" s="35">
        <v>0</v>
      </c>
      <c r="F25" s="30">
        <v>0</v>
      </c>
      <c r="G25" s="31">
        <v>0</v>
      </c>
      <c r="H25" s="22" t="s">
        <v>32</v>
      </c>
      <c r="I25" s="30">
        <v>6</v>
      </c>
      <c r="J25" s="35">
        <v>52</v>
      </c>
      <c r="K25" s="30">
        <v>0</v>
      </c>
      <c r="L25" s="35">
        <v>0</v>
      </c>
      <c r="M25" s="30">
        <v>0</v>
      </c>
      <c r="N25" s="31">
        <v>0</v>
      </c>
    </row>
    <row r="26" spans="1:14" x14ac:dyDescent="0.2">
      <c r="A26" s="98" t="s">
        <v>37</v>
      </c>
      <c r="B26" s="169">
        <v>0</v>
      </c>
      <c r="C26" s="170">
        <v>0</v>
      </c>
      <c r="D26" s="169">
        <v>0</v>
      </c>
      <c r="E26" s="170">
        <v>0</v>
      </c>
      <c r="F26" s="169">
        <v>0</v>
      </c>
      <c r="G26" s="171">
        <v>0</v>
      </c>
      <c r="H26" s="101" t="s">
        <v>37</v>
      </c>
      <c r="I26" s="169">
        <v>0</v>
      </c>
      <c r="J26" s="170">
        <v>0</v>
      </c>
      <c r="K26" s="169">
        <v>0</v>
      </c>
      <c r="L26" s="170">
        <v>0</v>
      </c>
      <c r="M26" s="169">
        <v>1</v>
      </c>
      <c r="N26" s="171">
        <v>10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88495-82E8-4F44-B817-296A85BB1918}">
  <sheetPr codeName="Sheet24">
    <tabColor theme="4"/>
  </sheetPr>
  <dimension ref="A1:N34"/>
  <sheetViews>
    <sheetView workbookViewId="0">
      <selection activeCell="A27" sqref="A27:N30"/>
    </sheetView>
  </sheetViews>
  <sheetFormatPr baseColWidth="10" defaultColWidth="8.83203125" defaultRowHeight="15" x14ac:dyDescent="0.2"/>
  <sheetData>
    <row r="1" spans="1:14" ht="16" thickBot="1" x14ac:dyDescent="0.25">
      <c r="A1" s="512" t="s">
        <v>325</v>
      </c>
      <c r="B1" s="513"/>
      <c r="C1" s="513"/>
      <c r="D1" s="513"/>
      <c r="E1" s="513"/>
      <c r="F1" s="513"/>
      <c r="G1" s="513"/>
      <c r="H1" s="145">
        <v>27</v>
      </c>
      <c r="I1" s="144" t="s">
        <v>299</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109</v>
      </c>
      <c r="D5" s="12" t="s">
        <v>263</v>
      </c>
      <c r="E5" s="165">
        <v>152</v>
      </c>
      <c r="F5" s="12" t="s">
        <v>5</v>
      </c>
      <c r="G5" s="164">
        <v>36</v>
      </c>
      <c r="H5" s="514"/>
      <c r="I5" s="21" t="s">
        <v>5</v>
      </c>
      <c r="J5" s="165">
        <v>16</v>
      </c>
      <c r="K5" s="24" t="s">
        <v>263</v>
      </c>
      <c r="L5" s="165">
        <v>134</v>
      </c>
      <c r="M5" s="24" t="s">
        <v>5</v>
      </c>
      <c r="N5" s="164">
        <v>24</v>
      </c>
    </row>
    <row r="6" spans="1:14" x14ac:dyDescent="0.2">
      <c r="A6" s="516"/>
      <c r="B6" s="10" t="s">
        <v>6</v>
      </c>
      <c r="C6" s="30">
        <v>0</v>
      </c>
      <c r="D6" s="13" t="s">
        <v>5</v>
      </c>
      <c r="E6" s="30">
        <v>121.60000000000001</v>
      </c>
      <c r="F6" s="13" t="s">
        <v>6</v>
      </c>
      <c r="G6" s="31">
        <v>0</v>
      </c>
      <c r="H6" s="514"/>
      <c r="I6" s="22" t="s">
        <v>6</v>
      </c>
      <c r="J6" s="30">
        <v>0</v>
      </c>
      <c r="K6" s="25" t="s">
        <v>329</v>
      </c>
      <c r="L6" s="30">
        <v>67</v>
      </c>
      <c r="M6" s="25" t="s">
        <v>6</v>
      </c>
      <c r="N6" s="31">
        <v>0</v>
      </c>
    </row>
    <row r="7" spans="1:14" ht="16" thickBot="1" x14ac:dyDescent="0.25">
      <c r="A7" s="516"/>
      <c r="B7" s="11" t="s">
        <v>7</v>
      </c>
      <c r="C7" s="4" t="s">
        <v>197</v>
      </c>
      <c r="D7" s="14" t="s">
        <v>7</v>
      </c>
      <c r="E7" s="4">
        <v>30.400000000000002</v>
      </c>
      <c r="F7" s="14" t="s">
        <v>7</v>
      </c>
      <c r="G7" s="5">
        <v>0</v>
      </c>
      <c r="H7" s="514"/>
      <c r="I7" s="23" t="s">
        <v>7</v>
      </c>
      <c r="J7" s="4" t="s">
        <v>197</v>
      </c>
      <c r="K7" s="26" t="s">
        <v>7</v>
      </c>
      <c r="L7" s="4">
        <v>67</v>
      </c>
      <c r="M7" s="26" t="s">
        <v>7</v>
      </c>
      <c r="N7" s="5">
        <v>40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27</v>
      </c>
      <c r="H9" s="514"/>
      <c r="I9" s="532" t="s">
        <v>8</v>
      </c>
      <c r="J9" s="533"/>
      <c r="K9" s="533" t="s">
        <v>10</v>
      </c>
      <c r="L9" s="533"/>
      <c r="M9" s="21" t="s">
        <v>17</v>
      </c>
      <c r="N9" s="2">
        <v>27</v>
      </c>
    </row>
    <row r="10" spans="1:14" x14ac:dyDescent="0.2">
      <c r="A10" s="516"/>
      <c r="B10" s="10" t="s">
        <v>5</v>
      </c>
      <c r="C10">
        <v>54</v>
      </c>
      <c r="D10" s="13" t="s">
        <v>5</v>
      </c>
      <c r="E10">
        <v>16</v>
      </c>
      <c r="F10" s="10" t="s">
        <v>18</v>
      </c>
      <c r="G10" s="31">
        <v>4</v>
      </c>
      <c r="H10" s="514"/>
      <c r="I10" s="22" t="s">
        <v>5</v>
      </c>
      <c r="J10">
        <v>6</v>
      </c>
      <c r="K10" s="25" t="s">
        <v>5</v>
      </c>
      <c r="L10">
        <v>6</v>
      </c>
      <c r="M10" s="22" t="s">
        <v>18</v>
      </c>
      <c r="N10" s="31">
        <v>4</v>
      </c>
    </row>
    <row r="11" spans="1:14" x14ac:dyDescent="0.2">
      <c r="A11" s="516"/>
      <c r="B11" s="10" t="s">
        <v>6</v>
      </c>
      <c r="C11" s="30">
        <v>38</v>
      </c>
      <c r="D11" s="13" t="s">
        <v>6</v>
      </c>
      <c r="E11" s="30">
        <v>0</v>
      </c>
      <c r="F11" s="10" t="s">
        <v>354</v>
      </c>
      <c r="G11" s="164">
        <v>13</v>
      </c>
      <c r="H11" s="514"/>
      <c r="I11" s="22" t="s">
        <v>6</v>
      </c>
      <c r="J11" s="30">
        <v>0</v>
      </c>
      <c r="K11" s="25" t="s">
        <v>6</v>
      </c>
      <c r="L11" s="30">
        <v>0</v>
      </c>
      <c r="M11" s="22" t="s">
        <v>19</v>
      </c>
      <c r="N11" s="164">
        <v>8</v>
      </c>
    </row>
    <row r="12" spans="1:14" ht="16" thickBot="1" x14ac:dyDescent="0.25">
      <c r="A12" s="516"/>
      <c r="B12" s="11" t="s">
        <v>7</v>
      </c>
      <c r="C12" s="4">
        <v>1</v>
      </c>
      <c r="D12" s="14" t="s">
        <v>7</v>
      </c>
      <c r="E12" s="4">
        <v>1</v>
      </c>
      <c r="F12" s="11" t="s">
        <v>353</v>
      </c>
      <c r="G12" s="33">
        <v>3</v>
      </c>
      <c r="H12" s="514"/>
      <c r="I12" s="23" t="s">
        <v>7</v>
      </c>
      <c r="J12" s="4">
        <v>7</v>
      </c>
      <c r="K12" s="26" t="s">
        <v>7</v>
      </c>
      <c r="L12" s="4">
        <v>7</v>
      </c>
      <c r="M12" s="23" t="s">
        <v>20</v>
      </c>
      <c r="N12" s="33">
        <v>2</v>
      </c>
    </row>
    <row r="13" spans="1:14" ht="16" thickBot="1" x14ac:dyDescent="0.25">
      <c r="A13" s="516"/>
      <c r="B13" s="520" t="s">
        <v>0</v>
      </c>
      <c r="C13" s="521"/>
      <c r="D13" s="139" t="s">
        <v>267</v>
      </c>
      <c r="E13" s="135">
        <v>14</v>
      </c>
      <c r="F13" s="139" t="s">
        <v>268</v>
      </c>
      <c r="G13" s="134">
        <v>6</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16</v>
      </c>
      <c r="C16" s="30">
        <v>3</v>
      </c>
      <c r="D16">
        <v>0</v>
      </c>
      <c r="E16" s="30">
        <v>0</v>
      </c>
      <c r="F16">
        <v>1</v>
      </c>
      <c r="G16" s="31">
        <v>8</v>
      </c>
      <c r="H16" s="514"/>
      <c r="I16" s="1">
        <v>17</v>
      </c>
      <c r="J16" s="30">
        <v>2</v>
      </c>
      <c r="K16">
        <v>6</v>
      </c>
      <c r="L16" s="30">
        <v>1</v>
      </c>
      <c r="M16">
        <v>2</v>
      </c>
      <c r="N16" s="31">
        <v>0</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152</v>
      </c>
      <c r="C19" s="30">
        <v>26</v>
      </c>
      <c r="D19">
        <v>0</v>
      </c>
      <c r="E19" s="30">
        <v>0</v>
      </c>
      <c r="F19">
        <v>12</v>
      </c>
      <c r="G19" s="31">
        <v>76</v>
      </c>
      <c r="H19" s="514"/>
      <c r="I19" s="1">
        <v>134</v>
      </c>
      <c r="J19" s="30">
        <v>16</v>
      </c>
      <c r="K19">
        <v>46</v>
      </c>
      <c r="L19" s="30">
        <v>7</v>
      </c>
      <c r="M19">
        <v>14</v>
      </c>
      <c r="N19" s="31">
        <v>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7</v>
      </c>
      <c r="D22" s="4">
        <v>4</v>
      </c>
      <c r="E22" s="32">
        <v>2</v>
      </c>
      <c r="F22" s="4">
        <v>1</v>
      </c>
      <c r="G22" s="33">
        <v>3</v>
      </c>
      <c r="H22" s="515"/>
      <c r="I22" s="3">
        <v>0</v>
      </c>
      <c r="J22" s="32">
        <v>0</v>
      </c>
      <c r="K22" s="4">
        <v>3</v>
      </c>
      <c r="L22" s="32">
        <v>1</v>
      </c>
      <c r="M22" s="4">
        <v>0</v>
      </c>
      <c r="N22" s="3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4</v>
      </c>
      <c r="C25" s="34">
        <v>0</v>
      </c>
      <c r="D25">
        <v>0</v>
      </c>
      <c r="E25" s="34">
        <v>0</v>
      </c>
      <c r="F25">
        <v>1</v>
      </c>
      <c r="G25" s="2">
        <v>4</v>
      </c>
      <c r="H25" s="21" t="s">
        <v>31</v>
      </c>
      <c r="I25">
        <v>6</v>
      </c>
      <c r="J25" s="34">
        <v>24</v>
      </c>
      <c r="K25">
        <v>0</v>
      </c>
      <c r="L25" s="34">
        <v>0</v>
      </c>
      <c r="M25">
        <v>0</v>
      </c>
      <c r="N25" s="2">
        <v>0</v>
      </c>
    </row>
    <row r="26" spans="1:14" x14ac:dyDescent="0.2">
      <c r="A26" s="10" t="s">
        <v>32</v>
      </c>
      <c r="B26" s="30">
        <v>12</v>
      </c>
      <c r="C26" s="35">
        <v>36</v>
      </c>
      <c r="D26" s="30">
        <v>0</v>
      </c>
      <c r="E26" s="35">
        <v>0</v>
      </c>
      <c r="F26" s="30">
        <v>0</v>
      </c>
      <c r="G26" s="31">
        <v>0</v>
      </c>
      <c r="H26" s="22" t="s">
        <v>32</v>
      </c>
      <c r="I26" s="30">
        <v>0</v>
      </c>
      <c r="J26" s="35">
        <v>0</v>
      </c>
      <c r="K26" s="30">
        <v>0</v>
      </c>
      <c r="L26" s="35">
        <v>0</v>
      </c>
      <c r="M26" s="30">
        <v>6</v>
      </c>
      <c r="N26" s="31">
        <v>34</v>
      </c>
    </row>
    <row r="27" spans="1:14" x14ac:dyDescent="0.2">
      <c r="A27" s="10" t="s">
        <v>33</v>
      </c>
      <c r="B27">
        <v>0</v>
      </c>
      <c r="C27" s="36">
        <v>0</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667EA-F00C-4CB3-AD1B-6B240567E1C2}">
  <sheetPr codeName="Sheet25">
    <tabColor theme="4"/>
  </sheetPr>
  <dimension ref="A1:N34"/>
  <sheetViews>
    <sheetView workbookViewId="0">
      <selection activeCell="B27" sqref="B27"/>
    </sheetView>
  </sheetViews>
  <sheetFormatPr baseColWidth="10" defaultColWidth="8.83203125" defaultRowHeight="15" x14ac:dyDescent="0.2"/>
  <cols>
    <col min="13" max="13" width="26.33203125" customWidth="1"/>
  </cols>
  <sheetData>
    <row r="1" spans="1:14" ht="16" thickBot="1" x14ac:dyDescent="0.25">
      <c r="A1" s="512" t="s">
        <v>325</v>
      </c>
      <c r="B1" s="513"/>
      <c r="C1" s="513"/>
      <c r="D1" s="513"/>
      <c r="E1" s="513"/>
      <c r="F1" s="513"/>
      <c r="G1" s="513"/>
      <c r="H1" s="145">
        <v>26</v>
      </c>
      <c r="I1" s="144" t="s">
        <v>298</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202</v>
      </c>
      <c r="D5" s="12" t="s">
        <v>263</v>
      </c>
      <c r="E5" s="165">
        <v>184</v>
      </c>
      <c r="F5" s="12" t="s">
        <v>5</v>
      </c>
      <c r="G5" s="164">
        <v>53</v>
      </c>
      <c r="H5" s="514"/>
      <c r="I5" s="21" t="s">
        <v>5</v>
      </c>
      <c r="J5" s="165">
        <v>27</v>
      </c>
      <c r="K5" s="24" t="s">
        <v>263</v>
      </c>
      <c r="L5" s="165">
        <v>144</v>
      </c>
      <c r="M5" s="24" t="s">
        <v>5</v>
      </c>
      <c r="N5" s="164">
        <v>78</v>
      </c>
    </row>
    <row r="6" spans="1:14" x14ac:dyDescent="0.2">
      <c r="A6" s="516"/>
      <c r="B6" s="10" t="s">
        <v>6</v>
      </c>
      <c r="C6" s="30">
        <v>0</v>
      </c>
      <c r="D6" s="13" t="s">
        <v>5</v>
      </c>
      <c r="E6" s="30">
        <v>110.39999999999999</v>
      </c>
      <c r="F6" s="13" t="s">
        <v>6</v>
      </c>
      <c r="G6" s="31">
        <v>0</v>
      </c>
      <c r="H6" s="514"/>
      <c r="I6" s="22" t="s">
        <v>6</v>
      </c>
      <c r="J6" s="30">
        <v>0</v>
      </c>
      <c r="K6" s="25" t="s">
        <v>329</v>
      </c>
      <c r="L6" s="30">
        <v>144</v>
      </c>
      <c r="M6" s="25" t="s">
        <v>6</v>
      </c>
      <c r="N6" s="31">
        <v>0</v>
      </c>
    </row>
    <row r="7" spans="1:14" ht="16" thickBot="1" x14ac:dyDescent="0.25">
      <c r="A7" s="516"/>
      <c r="B7" s="11" t="s">
        <v>7</v>
      </c>
      <c r="C7" s="4" t="s">
        <v>197</v>
      </c>
      <c r="D7" s="14" t="s">
        <v>7</v>
      </c>
      <c r="E7" s="4">
        <v>73.600000000000009</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26</v>
      </c>
      <c r="H9" s="514"/>
      <c r="I9" s="532" t="s">
        <v>8</v>
      </c>
      <c r="J9" s="533"/>
      <c r="K9" s="533" t="s">
        <v>10</v>
      </c>
      <c r="L9" s="533"/>
      <c r="M9" s="21" t="s">
        <v>17</v>
      </c>
      <c r="N9" s="2">
        <v>26</v>
      </c>
    </row>
    <row r="10" spans="1:14" x14ac:dyDescent="0.2">
      <c r="A10" s="516"/>
      <c r="B10" s="10" t="s">
        <v>5</v>
      </c>
      <c r="C10">
        <v>52</v>
      </c>
      <c r="D10" s="13" t="s">
        <v>5</v>
      </c>
      <c r="E10">
        <v>51</v>
      </c>
      <c r="F10" s="10" t="s">
        <v>18</v>
      </c>
      <c r="G10" s="31">
        <v>5</v>
      </c>
      <c r="H10" s="514"/>
      <c r="I10" s="22" t="s">
        <v>5</v>
      </c>
      <c r="J10">
        <v>7</v>
      </c>
      <c r="K10" s="25" t="s">
        <v>5</v>
      </c>
      <c r="L10">
        <v>7</v>
      </c>
      <c r="M10" s="22" t="s">
        <v>18</v>
      </c>
      <c r="N10" s="31">
        <v>5</v>
      </c>
    </row>
    <row r="11" spans="1:14" x14ac:dyDescent="0.2">
      <c r="A11" s="516"/>
      <c r="B11" s="10" t="s">
        <v>6</v>
      </c>
      <c r="C11" s="30">
        <v>3</v>
      </c>
      <c r="D11" s="13" t="s">
        <v>6</v>
      </c>
      <c r="E11" s="30">
        <v>2</v>
      </c>
      <c r="F11" s="10" t="s">
        <v>354</v>
      </c>
      <c r="G11" s="164">
        <v>12</v>
      </c>
      <c r="H11" s="514"/>
      <c r="I11" s="22" t="s">
        <v>6</v>
      </c>
      <c r="J11" s="30">
        <v>0</v>
      </c>
      <c r="K11" s="25" t="s">
        <v>6</v>
      </c>
      <c r="L11" s="30">
        <v>0</v>
      </c>
      <c r="M11" s="22" t="s">
        <v>19</v>
      </c>
      <c r="N11" s="164">
        <v>6</v>
      </c>
    </row>
    <row r="12" spans="1:14" ht="16" thickBot="1" x14ac:dyDescent="0.25">
      <c r="A12" s="516"/>
      <c r="B12" s="11" t="s">
        <v>7</v>
      </c>
      <c r="C12" s="4">
        <v>8</v>
      </c>
      <c r="D12" s="14" t="s">
        <v>7</v>
      </c>
      <c r="E12" s="4">
        <v>8</v>
      </c>
      <c r="F12" s="11" t="s">
        <v>353</v>
      </c>
      <c r="G12" s="33">
        <v>3</v>
      </c>
      <c r="H12" s="514"/>
      <c r="I12" s="23" t="s">
        <v>7</v>
      </c>
      <c r="J12" s="4">
        <v>0</v>
      </c>
      <c r="K12" s="26" t="s">
        <v>7</v>
      </c>
      <c r="L12" s="4">
        <v>0</v>
      </c>
      <c r="M12" s="23" t="s">
        <v>20</v>
      </c>
      <c r="N12" s="33">
        <v>1</v>
      </c>
    </row>
    <row r="13" spans="1:14" ht="16" thickBot="1" x14ac:dyDescent="0.25">
      <c r="A13" s="516"/>
      <c r="B13" s="520" t="s">
        <v>0</v>
      </c>
      <c r="C13" s="521"/>
      <c r="D13" s="139" t="s">
        <v>267</v>
      </c>
      <c r="E13" s="135">
        <v>14</v>
      </c>
      <c r="F13" s="139" t="s">
        <v>268</v>
      </c>
      <c r="G13" s="134">
        <v>9</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16</v>
      </c>
      <c r="C16" s="30">
        <v>3</v>
      </c>
      <c r="D16">
        <v>0</v>
      </c>
      <c r="E16" s="30">
        <v>0</v>
      </c>
      <c r="F16">
        <v>1</v>
      </c>
      <c r="G16" s="31">
        <v>8</v>
      </c>
      <c r="H16" s="514"/>
      <c r="I16" s="1">
        <v>24</v>
      </c>
      <c r="J16" s="30">
        <v>4</v>
      </c>
      <c r="K16">
        <v>4</v>
      </c>
      <c r="L16" s="30">
        <v>1</v>
      </c>
      <c r="M16">
        <v>0</v>
      </c>
      <c r="N16" s="31">
        <v>2</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184</v>
      </c>
      <c r="C19" s="30">
        <v>34</v>
      </c>
      <c r="D19">
        <v>0</v>
      </c>
      <c r="E19" s="30">
        <v>0</v>
      </c>
      <c r="F19">
        <v>12</v>
      </c>
      <c r="G19" s="31">
        <v>92</v>
      </c>
      <c r="H19" s="514"/>
      <c r="I19" s="1">
        <v>144</v>
      </c>
      <c r="J19" s="30">
        <v>24</v>
      </c>
      <c r="K19">
        <v>24</v>
      </c>
      <c r="L19" s="30">
        <v>6</v>
      </c>
      <c r="M19">
        <v>0</v>
      </c>
      <c r="N19" s="31">
        <v>12</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v>3</v>
      </c>
      <c r="E22" s="32">
        <v>3</v>
      </c>
      <c r="F22" s="4"/>
      <c r="G22" s="33"/>
      <c r="H22" s="515"/>
      <c r="I22" s="3">
        <v>0</v>
      </c>
      <c r="J22" s="32">
        <v>0</v>
      </c>
      <c r="K22" s="4">
        <v>2</v>
      </c>
      <c r="L22" s="32">
        <v>0</v>
      </c>
      <c r="M22" s="4">
        <v>1</v>
      </c>
      <c r="N22" s="33">
        <v>4</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19</v>
      </c>
      <c r="C25" s="34">
        <v>51</v>
      </c>
      <c r="D25">
        <v>0</v>
      </c>
      <c r="E25" s="34">
        <v>0</v>
      </c>
      <c r="F25">
        <v>0</v>
      </c>
      <c r="G25" s="2">
        <v>0</v>
      </c>
      <c r="H25" s="21" t="s">
        <v>31</v>
      </c>
      <c r="I25">
        <v>0</v>
      </c>
      <c r="J25" s="34">
        <v>0</v>
      </c>
      <c r="K25">
        <v>0</v>
      </c>
      <c r="L25" s="34">
        <v>0</v>
      </c>
      <c r="M25">
        <v>0</v>
      </c>
      <c r="N25" s="2">
        <v>0</v>
      </c>
    </row>
    <row r="26" spans="1:14" x14ac:dyDescent="0.2">
      <c r="A26" s="10" t="s">
        <v>32</v>
      </c>
      <c r="B26" s="30">
        <v>30</v>
      </c>
      <c r="C26" s="35">
        <v>2</v>
      </c>
      <c r="D26" s="30">
        <v>0</v>
      </c>
      <c r="E26" s="35">
        <v>0</v>
      </c>
      <c r="F26" s="30">
        <v>0</v>
      </c>
      <c r="G26" s="31">
        <v>0</v>
      </c>
      <c r="H26" s="22" t="s">
        <v>32</v>
      </c>
      <c r="I26" s="30">
        <v>7</v>
      </c>
      <c r="J26" s="35">
        <v>78</v>
      </c>
      <c r="K26" s="30">
        <v>0</v>
      </c>
      <c r="L26" s="35">
        <v>0</v>
      </c>
      <c r="M26" s="30">
        <v>0</v>
      </c>
      <c r="N26" s="31">
        <v>0</v>
      </c>
    </row>
    <row r="27" spans="1:14" x14ac:dyDescent="0.2">
      <c r="A27" s="10" t="s">
        <v>33</v>
      </c>
      <c r="B27">
        <v>0</v>
      </c>
      <c r="C27" s="36">
        <v>0</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50C40-F93B-497E-85BB-243170FF580C}">
  <sheetPr codeName="Sheet28">
    <tabColor theme="4"/>
  </sheetPr>
  <dimension ref="A1:N34"/>
  <sheetViews>
    <sheetView workbookViewId="0">
      <selection activeCell="J47" sqref="J47"/>
    </sheetView>
  </sheetViews>
  <sheetFormatPr baseColWidth="10" defaultColWidth="8.83203125" defaultRowHeight="15" x14ac:dyDescent="0.2"/>
  <sheetData>
    <row r="1" spans="1:14" ht="16" thickBot="1" x14ac:dyDescent="0.25">
      <c r="A1" s="512" t="s">
        <v>325</v>
      </c>
      <c r="B1" s="513"/>
      <c r="C1" s="513"/>
      <c r="D1" s="513"/>
      <c r="E1" s="513"/>
      <c r="F1" s="513"/>
      <c r="G1" s="513"/>
      <c r="H1" s="145">
        <v>29</v>
      </c>
      <c r="I1" s="144" t="s">
        <v>301</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0</v>
      </c>
      <c r="D5" s="12" t="s">
        <v>263</v>
      </c>
      <c r="E5" s="165">
        <v>184</v>
      </c>
      <c r="F5" s="12" t="s">
        <v>5</v>
      </c>
      <c r="G5" s="164">
        <v>0</v>
      </c>
      <c r="H5" s="514"/>
      <c r="I5" s="21" t="s">
        <v>5</v>
      </c>
      <c r="J5" s="165">
        <v>565</v>
      </c>
      <c r="K5" s="24" t="s">
        <v>263</v>
      </c>
      <c r="L5" s="165">
        <v>202</v>
      </c>
      <c r="M5" s="24" t="s">
        <v>5</v>
      </c>
      <c r="N5" s="164">
        <v>614</v>
      </c>
    </row>
    <row r="6" spans="1:14" x14ac:dyDescent="0.2">
      <c r="A6" s="516"/>
      <c r="B6" s="10" t="s">
        <v>6</v>
      </c>
      <c r="C6" s="30">
        <v>0</v>
      </c>
      <c r="D6" s="13" t="s">
        <v>5</v>
      </c>
      <c r="E6" s="30">
        <v>0</v>
      </c>
      <c r="F6" s="13" t="s">
        <v>6</v>
      </c>
      <c r="G6" s="31">
        <v>0</v>
      </c>
      <c r="H6" s="514"/>
      <c r="I6" s="22" t="s">
        <v>6</v>
      </c>
      <c r="J6" s="30">
        <v>532</v>
      </c>
      <c r="K6" s="25" t="s">
        <v>329</v>
      </c>
      <c r="L6" s="30">
        <v>202</v>
      </c>
      <c r="M6" s="25" t="s">
        <v>6</v>
      </c>
      <c r="N6" s="31">
        <v>581</v>
      </c>
    </row>
    <row r="7" spans="1:14" ht="16" thickBot="1" x14ac:dyDescent="0.25">
      <c r="A7" s="516"/>
      <c r="B7" s="11" t="s">
        <v>7</v>
      </c>
      <c r="C7" s="4" t="s">
        <v>197</v>
      </c>
      <c r="D7" s="14" t="s">
        <v>7</v>
      </c>
      <c r="E7" s="4">
        <v>184</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29</v>
      </c>
      <c r="H9" s="514"/>
      <c r="I9" s="532" t="s">
        <v>8</v>
      </c>
      <c r="J9" s="533"/>
      <c r="K9" s="533" t="s">
        <v>10</v>
      </c>
      <c r="L9" s="533"/>
      <c r="M9" s="21" t="s">
        <v>17</v>
      </c>
      <c r="N9" s="2">
        <v>29</v>
      </c>
    </row>
    <row r="10" spans="1:14" x14ac:dyDescent="0.2">
      <c r="A10" s="516"/>
      <c r="B10" s="10" t="s">
        <v>5</v>
      </c>
      <c r="C10">
        <v>0</v>
      </c>
      <c r="D10" s="13" t="s">
        <v>5</v>
      </c>
      <c r="E10">
        <v>0</v>
      </c>
      <c r="F10" s="10" t="s">
        <v>18</v>
      </c>
      <c r="G10" s="31">
        <v>4.5</v>
      </c>
      <c r="H10" s="514"/>
      <c r="I10" s="22" t="s">
        <v>5</v>
      </c>
      <c r="J10">
        <v>117</v>
      </c>
      <c r="K10" s="25" t="s">
        <v>5</v>
      </c>
      <c r="L10">
        <v>0</v>
      </c>
      <c r="M10" s="22" t="s">
        <v>18</v>
      </c>
      <c r="N10" s="31">
        <v>4.5</v>
      </c>
    </row>
    <row r="11" spans="1:14" x14ac:dyDescent="0.2">
      <c r="A11" s="516"/>
      <c r="B11" s="10" t="s">
        <v>6</v>
      </c>
      <c r="C11" s="30">
        <v>0</v>
      </c>
      <c r="D11" s="13" t="s">
        <v>6</v>
      </c>
      <c r="E11" s="30">
        <v>0</v>
      </c>
      <c r="F11" s="10" t="s">
        <v>354</v>
      </c>
      <c r="G11" s="164">
        <v>12</v>
      </c>
      <c r="H11" s="514"/>
      <c r="I11" s="22" t="s">
        <v>6</v>
      </c>
      <c r="J11" s="30">
        <v>98</v>
      </c>
      <c r="K11" s="25" t="s">
        <v>6</v>
      </c>
      <c r="L11" s="30">
        <v>0</v>
      </c>
      <c r="M11" s="22" t="s">
        <v>19</v>
      </c>
      <c r="N11" s="164">
        <v>9</v>
      </c>
    </row>
    <row r="12" spans="1:14" ht="16" thickBot="1" x14ac:dyDescent="0.25">
      <c r="A12" s="516"/>
      <c r="B12" s="11" t="s">
        <v>7</v>
      </c>
      <c r="C12" s="4">
        <v>1</v>
      </c>
      <c r="D12" s="14" t="s">
        <v>7</v>
      </c>
      <c r="E12" s="4">
        <v>1</v>
      </c>
      <c r="F12" s="11" t="s">
        <v>353</v>
      </c>
      <c r="G12" s="33">
        <v>4</v>
      </c>
      <c r="H12" s="514"/>
      <c r="I12" s="23" t="s">
        <v>7</v>
      </c>
      <c r="J12" s="4">
        <v>0</v>
      </c>
      <c r="K12" s="26" t="s">
        <v>7</v>
      </c>
      <c r="L12" s="4">
        <v>0</v>
      </c>
      <c r="M12" s="23" t="s">
        <v>20</v>
      </c>
      <c r="N12" s="33">
        <v>3</v>
      </c>
    </row>
    <row r="13" spans="1:14" ht="16" thickBot="1" x14ac:dyDescent="0.25">
      <c r="A13" s="516"/>
      <c r="B13" s="520" t="s">
        <v>0</v>
      </c>
      <c r="C13" s="521"/>
      <c r="D13" s="139" t="s">
        <v>267</v>
      </c>
      <c r="E13" s="135">
        <v>7</v>
      </c>
      <c r="F13" s="139" t="s">
        <v>268</v>
      </c>
      <c r="G13" s="134">
        <v>5</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16</v>
      </c>
      <c r="C16" s="30">
        <v>2</v>
      </c>
      <c r="D16">
        <v>0</v>
      </c>
      <c r="E16" s="30">
        <v>0</v>
      </c>
      <c r="F16">
        <v>4</v>
      </c>
      <c r="G16" s="31">
        <v>6</v>
      </c>
      <c r="H16" s="514"/>
      <c r="I16" s="1">
        <v>22</v>
      </c>
      <c r="J16" s="30">
        <v>3</v>
      </c>
      <c r="K16">
        <v>2</v>
      </c>
      <c r="L16" s="30">
        <v>1</v>
      </c>
      <c r="M16">
        <v>5</v>
      </c>
      <c r="N16" s="31">
        <v>0</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184</v>
      </c>
      <c r="C19" s="30">
        <v>25</v>
      </c>
      <c r="D19">
        <v>0</v>
      </c>
      <c r="E19" s="30">
        <v>0</v>
      </c>
      <c r="F19">
        <v>35</v>
      </c>
      <c r="G19" s="31">
        <v>78</v>
      </c>
      <c r="H19" s="514"/>
      <c r="I19" s="1">
        <v>202</v>
      </c>
      <c r="J19" s="30">
        <v>29</v>
      </c>
      <c r="K19">
        <v>18</v>
      </c>
      <c r="L19" s="30">
        <v>9</v>
      </c>
      <c r="M19">
        <v>33</v>
      </c>
      <c r="N19" s="31">
        <v>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4</v>
      </c>
      <c r="D22" s="4">
        <v>0</v>
      </c>
      <c r="E22" s="32">
        <v>3</v>
      </c>
      <c r="F22" s="4">
        <v>0</v>
      </c>
      <c r="G22" s="33">
        <v>2</v>
      </c>
      <c r="H22" s="515"/>
      <c r="I22" s="3"/>
      <c r="J22" s="32">
        <v>3</v>
      </c>
      <c r="K22" s="4">
        <v>2</v>
      </c>
      <c r="L22" s="32">
        <v>1</v>
      </c>
      <c r="M22" s="4"/>
      <c r="N22" s="33">
        <v>3</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0</v>
      </c>
      <c r="C25" s="34">
        <v>0</v>
      </c>
      <c r="D25">
        <v>0</v>
      </c>
      <c r="E25" s="34">
        <v>0</v>
      </c>
      <c r="F25">
        <v>0</v>
      </c>
      <c r="G25" s="2">
        <v>0</v>
      </c>
      <c r="H25" s="21" t="s">
        <v>31</v>
      </c>
      <c r="I25">
        <v>0</v>
      </c>
      <c r="J25" s="34">
        <v>0</v>
      </c>
      <c r="K25">
        <v>0</v>
      </c>
      <c r="L25" s="34">
        <v>0</v>
      </c>
      <c r="M25">
        <v>0</v>
      </c>
      <c r="N25" s="2">
        <v>0</v>
      </c>
    </row>
    <row r="26" spans="1:14" x14ac:dyDescent="0.2">
      <c r="A26" s="10" t="s">
        <v>32</v>
      </c>
      <c r="B26" s="30">
        <v>0</v>
      </c>
      <c r="C26" s="35">
        <v>0</v>
      </c>
      <c r="D26" s="30">
        <v>0</v>
      </c>
      <c r="E26" s="35">
        <v>0</v>
      </c>
      <c r="F26" s="30">
        <v>0</v>
      </c>
      <c r="G26" s="31">
        <v>0</v>
      </c>
      <c r="H26" s="22" t="s">
        <v>32</v>
      </c>
      <c r="I26" s="30">
        <v>8</v>
      </c>
      <c r="J26" s="35">
        <v>66</v>
      </c>
      <c r="K26" s="30">
        <v>8</v>
      </c>
      <c r="L26" s="35">
        <v>66</v>
      </c>
      <c r="M26" s="30">
        <v>0</v>
      </c>
      <c r="N26" s="31">
        <v>0</v>
      </c>
    </row>
    <row r="27" spans="1:14" x14ac:dyDescent="0.2">
      <c r="A27" s="10" t="s">
        <v>33</v>
      </c>
      <c r="B27">
        <v>0</v>
      </c>
      <c r="C27" s="36">
        <v>0</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98" t="s">
        <v>37</v>
      </c>
      <c r="B31" s="169">
        <v>0</v>
      </c>
      <c r="C31" s="170">
        <v>0</v>
      </c>
      <c r="D31" s="169">
        <v>0</v>
      </c>
      <c r="E31" s="170">
        <v>0</v>
      </c>
      <c r="F31" s="169">
        <v>1</v>
      </c>
      <c r="G31" s="171">
        <v>32</v>
      </c>
      <c r="H31" s="101" t="s">
        <v>37</v>
      </c>
      <c r="I31" s="169">
        <v>109</v>
      </c>
      <c r="J31" s="170">
        <v>548</v>
      </c>
      <c r="K31" s="169">
        <v>90</v>
      </c>
      <c r="L31" s="170">
        <v>515</v>
      </c>
      <c r="M31" s="169">
        <v>0</v>
      </c>
      <c r="N31" s="171">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60677-B2C5-41E4-B93A-0C4849031802}">
  <sheetPr codeName="Sheet29">
    <tabColor theme="4"/>
  </sheetPr>
  <dimension ref="A1:N34"/>
  <sheetViews>
    <sheetView workbookViewId="0">
      <selection activeCell="H50" sqref="H50"/>
    </sheetView>
  </sheetViews>
  <sheetFormatPr baseColWidth="10" defaultColWidth="8.83203125" defaultRowHeight="15" x14ac:dyDescent="0.2"/>
  <sheetData>
    <row r="1" spans="1:14" ht="16" thickBot="1" x14ac:dyDescent="0.25">
      <c r="A1" s="512" t="s">
        <v>325</v>
      </c>
      <c r="B1" s="513"/>
      <c r="C1" s="513"/>
      <c r="D1" s="513"/>
      <c r="E1" s="513"/>
      <c r="F1" s="513"/>
      <c r="G1" s="513"/>
      <c r="H1" s="145">
        <v>28</v>
      </c>
      <c r="I1" s="144" t="s">
        <v>300</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8</v>
      </c>
      <c r="D5" s="12" t="s">
        <v>263</v>
      </c>
      <c r="E5" s="165">
        <v>172</v>
      </c>
      <c r="F5" s="12" t="s">
        <v>5</v>
      </c>
      <c r="G5" s="164">
        <v>0</v>
      </c>
      <c r="H5" s="514"/>
      <c r="I5" s="21" t="s">
        <v>5</v>
      </c>
      <c r="J5" s="165">
        <v>18</v>
      </c>
      <c r="K5" s="24" t="s">
        <v>263</v>
      </c>
      <c r="L5" s="165">
        <v>228</v>
      </c>
      <c r="M5" s="24" t="s">
        <v>5</v>
      </c>
      <c r="N5" s="164">
        <v>52</v>
      </c>
    </row>
    <row r="6" spans="1:14" x14ac:dyDescent="0.2">
      <c r="A6" s="516"/>
      <c r="B6" s="10" t="s">
        <v>6</v>
      </c>
      <c r="C6" s="30">
        <v>0</v>
      </c>
      <c r="D6" s="13" t="s">
        <v>5</v>
      </c>
      <c r="E6" s="30">
        <v>172</v>
      </c>
      <c r="F6" s="13" t="s">
        <v>6</v>
      </c>
      <c r="G6" s="31">
        <v>0</v>
      </c>
      <c r="H6" s="514"/>
      <c r="I6" s="22" t="s">
        <v>6</v>
      </c>
      <c r="J6" s="30">
        <v>0</v>
      </c>
      <c r="K6" s="25" t="s">
        <v>329</v>
      </c>
      <c r="L6" s="30">
        <v>159.6</v>
      </c>
      <c r="M6" s="25" t="s">
        <v>6</v>
      </c>
      <c r="N6" s="31">
        <v>0</v>
      </c>
    </row>
    <row r="7" spans="1:14" ht="16" thickBot="1" x14ac:dyDescent="0.25">
      <c r="A7" s="516"/>
      <c r="B7" s="11" t="s">
        <v>7</v>
      </c>
      <c r="C7" s="4" t="s">
        <v>197</v>
      </c>
      <c r="D7" s="14" t="s">
        <v>7</v>
      </c>
      <c r="E7" s="4">
        <v>0</v>
      </c>
      <c r="F7" s="14" t="s">
        <v>7</v>
      </c>
      <c r="G7" s="5">
        <v>0</v>
      </c>
      <c r="H7" s="514"/>
      <c r="I7" s="23" t="s">
        <v>7</v>
      </c>
      <c r="J7" s="4" t="s">
        <v>197</v>
      </c>
      <c r="K7" s="26" t="s">
        <v>7</v>
      </c>
      <c r="L7" s="4">
        <v>68.399999999999991</v>
      </c>
      <c r="M7" s="26" t="s">
        <v>7</v>
      </c>
      <c r="N7" s="5">
        <v>10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28</v>
      </c>
      <c r="H9" s="514"/>
      <c r="I9" s="532" t="s">
        <v>8</v>
      </c>
      <c r="J9" s="533"/>
      <c r="K9" s="533" t="s">
        <v>10</v>
      </c>
      <c r="L9" s="533"/>
      <c r="M9" s="21" t="s">
        <v>17</v>
      </c>
      <c r="N9" s="2">
        <v>28</v>
      </c>
    </row>
    <row r="10" spans="1:14" x14ac:dyDescent="0.2">
      <c r="A10" s="516"/>
      <c r="B10" s="10" t="s">
        <v>5</v>
      </c>
      <c r="C10">
        <v>42</v>
      </c>
      <c r="D10" s="13" t="s">
        <v>5</v>
      </c>
      <c r="E10">
        <v>4</v>
      </c>
      <c r="F10" s="10" t="s">
        <v>18</v>
      </c>
      <c r="G10" s="31">
        <v>5</v>
      </c>
      <c r="H10" s="514"/>
      <c r="I10" s="22" t="s">
        <v>5</v>
      </c>
      <c r="J10">
        <v>6</v>
      </c>
      <c r="K10" s="25" t="s">
        <v>5</v>
      </c>
      <c r="L10">
        <v>6</v>
      </c>
      <c r="M10" s="22" t="s">
        <v>18</v>
      </c>
      <c r="N10" s="31">
        <v>5</v>
      </c>
    </row>
    <row r="11" spans="1:14" x14ac:dyDescent="0.2">
      <c r="A11" s="516"/>
      <c r="B11" s="10" t="s">
        <v>6</v>
      </c>
      <c r="C11" s="30">
        <v>38</v>
      </c>
      <c r="D11" s="13" t="s">
        <v>6</v>
      </c>
      <c r="E11" s="30">
        <v>0</v>
      </c>
      <c r="F11" s="10" t="s">
        <v>354</v>
      </c>
      <c r="G11" s="164">
        <v>14</v>
      </c>
      <c r="H11" s="514"/>
      <c r="I11" s="22" t="s">
        <v>6</v>
      </c>
      <c r="J11" s="30">
        <v>0</v>
      </c>
      <c r="K11" s="25" t="s">
        <v>6</v>
      </c>
      <c r="L11" s="30">
        <v>0</v>
      </c>
      <c r="M11" s="22" t="s">
        <v>19</v>
      </c>
      <c r="N11" s="164">
        <v>10</v>
      </c>
    </row>
    <row r="12" spans="1:14" ht="16" thickBot="1" x14ac:dyDescent="0.25">
      <c r="A12" s="516"/>
      <c r="B12" s="11" t="s">
        <v>7</v>
      </c>
      <c r="C12" s="4">
        <v>0</v>
      </c>
      <c r="D12" s="14" t="s">
        <v>7</v>
      </c>
      <c r="E12" s="4">
        <v>0</v>
      </c>
      <c r="F12" s="11" t="s">
        <v>353</v>
      </c>
      <c r="G12" s="33">
        <v>2</v>
      </c>
      <c r="H12" s="514"/>
      <c r="I12" s="23" t="s">
        <v>7</v>
      </c>
      <c r="J12" s="4">
        <v>1</v>
      </c>
      <c r="K12" s="26" t="s">
        <v>7</v>
      </c>
      <c r="L12" s="4">
        <v>1</v>
      </c>
      <c r="M12" s="23" t="s">
        <v>20</v>
      </c>
      <c r="N12" s="33"/>
    </row>
    <row r="13" spans="1:14" ht="16" thickBot="1" x14ac:dyDescent="0.25">
      <c r="A13" s="516"/>
      <c r="B13" s="520" t="s">
        <v>0</v>
      </c>
      <c r="C13" s="521"/>
      <c r="D13" s="139" t="s">
        <v>267</v>
      </c>
      <c r="E13" s="135">
        <v>9</v>
      </c>
      <c r="F13" s="139" t="s">
        <v>268</v>
      </c>
      <c r="G13" s="134">
        <v>5</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16</v>
      </c>
      <c r="C16" s="30">
        <v>3</v>
      </c>
      <c r="D16">
        <v>0</v>
      </c>
      <c r="E16" s="30">
        <v>0</v>
      </c>
      <c r="F16">
        <v>1</v>
      </c>
      <c r="G16" s="31">
        <v>8</v>
      </c>
      <c r="H16" s="514"/>
      <c r="I16" s="1">
        <v>24</v>
      </c>
      <c r="J16" s="30">
        <v>4</v>
      </c>
      <c r="K16">
        <v>4</v>
      </c>
      <c r="L16" s="30">
        <v>1</v>
      </c>
      <c r="M16">
        <v>2</v>
      </c>
      <c r="N16" s="31">
        <v>0</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172</v>
      </c>
      <c r="C19" s="30">
        <v>28</v>
      </c>
      <c r="D19">
        <v>0</v>
      </c>
      <c r="E19" s="30">
        <v>0</v>
      </c>
      <c r="F19">
        <v>15</v>
      </c>
      <c r="G19" s="31">
        <v>86</v>
      </c>
      <c r="H19" s="514"/>
      <c r="I19" s="1">
        <v>228</v>
      </c>
      <c r="J19" s="30">
        <v>38</v>
      </c>
      <c r="K19">
        <v>40</v>
      </c>
      <c r="L19" s="30">
        <v>10</v>
      </c>
      <c r="M19">
        <v>20</v>
      </c>
      <c r="N19" s="31">
        <v>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6</v>
      </c>
      <c r="D22" s="4">
        <v>6</v>
      </c>
      <c r="E22" s="32">
        <v>3</v>
      </c>
      <c r="F22" s="4">
        <v>0</v>
      </c>
      <c r="G22" s="33">
        <v>0</v>
      </c>
      <c r="H22" s="515"/>
      <c r="I22" s="3">
        <v>0</v>
      </c>
      <c r="J22" s="32">
        <v>0</v>
      </c>
      <c r="K22" s="4">
        <v>3</v>
      </c>
      <c r="L22" s="32">
        <v>2</v>
      </c>
      <c r="M22" s="4">
        <v>0</v>
      </c>
      <c r="N22" s="3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s="173">
        <v>0</v>
      </c>
      <c r="C25" s="34">
        <v>0</v>
      </c>
      <c r="D25" s="174">
        <v>0</v>
      </c>
      <c r="E25" s="34">
        <v>0</v>
      </c>
      <c r="F25" s="174">
        <v>0</v>
      </c>
      <c r="G25" s="175">
        <v>0</v>
      </c>
      <c r="H25" s="21" t="s">
        <v>31</v>
      </c>
      <c r="I25" s="174">
        <v>0</v>
      </c>
      <c r="J25" s="34">
        <v>0</v>
      </c>
      <c r="K25" s="174">
        <v>0</v>
      </c>
      <c r="L25" s="34">
        <v>0</v>
      </c>
      <c r="M25" s="174">
        <v>0</v>
      </c>
      <c r="N25" s="175">
        <v>0</v>
      </c>
    </row>
    <row r="26" spans="1:14" x14ac:dyDescent="0.2">
      <c r="A26" s="10" t="s">
        <v>32</v>
      </c>
      <c r="B26" s="30">
        <v>4</v>
      </c>
      <c r="C26" s="35">
        <v>0</v>
      </c>
      <c r="D26" s="30">
        <v>0</v>
      </c>
      <c r="E26" s="35">
        <v>0</v>
      </c>
      <c r="F26" s="30">
        <v>0</v>
      </c>
      <c r="G26" s="31">
        <v>0</v>
      </c>
      <c r="H26" s="22" t="s">
        <v>32</v>
      </c>
      <c r="I26" s="30">
        <v>6</v>
      </c>
      <c r="J26" s="35">
        <v>52</v>
      </c>
      <c r="K26" s="30">
        <v>0</v>
      </c>
      <c r="L26" s="35">
        <v>0</v>
      </c>
      <c r="M26" s="30">
        <v>0</v>
      </c>
      <c r="N26" s="31">
        <v>0</v>
      </c>
    </row>
    <row r="27" spans="1:14" x14ac:dyDescent="0.2">
      <c r="A27" s="10" t="s">
        <v>33</v>
      </c>
      <c r="B27">
        <v>0</v>
      </c>
      <c r="C27" s="36">
        <v>0</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1</v>
      </c>
      <c r="N31" s="2">
        <v>10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4A97F-CD9A-45A5-92D7-9C8D39A16EAB}">
  <sheetPr codeName="Sheet30">
    <tabColor theme="4"/>
  </sheetPr>
  <dimension ref="A1:N34"/>
  <sheetViews>
    <sheetView workbookViewId="0">
      <selection activeCell="Q45" sqref="Q45"/>
    </sheetView>
  </sheetViews>
  <sheetFormatPr baseColWidth="10" defaultColWidth="8.83203125" defaultRowHeight="15" x14ac:dyDescent="0.2"/>
  <sheetData>
    <row r="1" spans="1:14" ht="16" thickBot="1" x14ac:dyDescent="0.25">
      <c r="A1" s="512" t="s">
        <v>325</v>
      </c>
      <c r="B1" s="513"/>
      <c r="C1" s="513"/>
      <c r="D1" s="513"/>
      <c r="E1" s="513"/>
      <c r="F1" s="513"/>
      <c r="G1" s="513"/>
      <c r="H1" s="145">
        <v>27</v>
      </c>
      <c r="I1" s="144" t="s">
        <v>299</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109</v>
      </c>
      <c r="D5" s="12" t="s">
        <v>263</v>
      </c>
      <c r="E5" s="165">
        <v>152</v>
      </c>
      <c r="F5" s="12" t="s">
        <v>5</v>
      </c>
      <c r="G5" s="164">
        <v>36</v>
      </c>
      <c r="H5" s="514"/>
      <c r="I5" s="21" t="s">
        <v>5</v>
      </c>
      <c r="J5" s="165">
        <v>16</v>
      </c>
      <c r="K5" s="24" t="s">
        <v>263</v>
      </c>
      <c r="L5" s="165">
        <v>134</v>
      </c>
      <c r="M5" s="24" t="s">
        <v>5</v>
      </c>
      <c r="N5" s="164">
        <v>24</v>
      </c>
    </row>
    <row r="6" spans="1:14" x14ac:dyDescent="0.2">
      <c r="A6" s="516"/>
      <c r="B6" s="10" t="s">
        <v>6</v>
      </c>
      <c r="C6" s="30">
        <v>0</v>
      </c>
      <c r="D6" s="13" t="s">
        <v>5</v>
      </c>
      <c r="E6" s="30">
        <v>121.60000000000001</v>
      </c>
      <c r="F6" s="13" t="s">
        <v>6</v>
      </c>
      <c r="G6" s="31">
        <v>0</v>
      </c>
      <c r="H6" s="514"/>
      <c r="I6" s="22" t="s">
        <v>6</v>
      </c>
      <c r="J6" s="30">
        <v>0</v>
      </c>
      <c r="K6" s="25" t="s">
        <v>329</v>
      </c>
      <c r="L6" s="30">
        <v>67</v>
      </c>
      <c r="M6" s="25" t="s">
        <v>6</v>
      </c>
      <c r="N6" s="31">
        <v>0</v>
      </c>
    </row>
    <row r="7" spans="1:14" ht="16" thickBot="1" x14ac:dyDescent="0.25">
      <c r="A7" s="516"/>
      <c r="B7" s="11" t="s">
        <v>7</v>
      </c>
      <c r="C7" s="4" t="s">
        <v>197</v>
      </c>
      <c r="D7" s="14" t="s">
        <v>7</v>
      </c>
      <c r="E7" s="4">
        <v>30.400000000000002</v>
      </c>
      <c r="F7" s="14" t="s">
        <v>7</v>
      </c>
      <c r="G7" s="5">
        <v>0</v>
      </c>
      <c r="H7" s="514"/>
      <c r="I7" s="23" t="s">
        <v>7</v>
      </c>
      <c r="J7" s="4" t="s">
        <v>197</v>
      </c>
      <c r="K7" s="26" t="s">
        <v>7</v>
      </c>
      <c r="L7" s="4">
        <v>67</v>
      </c>
      <c r="M7" s="26" t="s">
        <v>7</v>
      </c>
      <c r="N7" s="5">
        <v>40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27</v>
      </c>
      <c r="H9" s="514"/>
      <c r="I9" s="532" t="s">
        <v>8</v>
      </c>
      <c r="J9" s="533"/>
      <c r="K9" s="533" t="s">
        <v>10</v>
      </c>
      <c r="L9" s="533"/>
      <c r="M9" s="21" t="s">
        <v>17</v>
      </c>
      <c r="N9" s="2">
        <v>27</v>
      </c>
    </row>
    <row r="10" spans="1:14" x14ac:dyDescent="0.2">
      <c r="A10" s="516"/>
      <c r="B10" s="10" t="s">
        <v>5</v>
      </c>
      <c r="C10">
        <v>54</v>
      </c>
      <c r="D10" s="13" t="s">
        <v>5</v>
      </c>
      <c r="E10">
        <v>16</v>
      </c>
      <c r="F10" s="10" t="s">
        <v>18</v>
      </c>
      <c r="G10" s="31">
        <v>4</v>
      </c>
      <c r="H10" s="514"/>
      <c r="I10" s="22" t="s">
        <v>5</v>
      </c>
      <c r="J10">
        <v>6</v>
      </c>
      <c r="K10" s="25" t="s">
        <v>5</v>
      </c>
      <c r="L10">
        <v>6</v>
      </c>
      <c r="M10" s="22" t="s">
        <v>18</v>
      </c>
      <c r="N10" s="31">
        <v>4</v>
      </c>
    </row>
    <row r="11" spans="1:14" x14ac:dyDescent="0.2">
      <c r="A11" s="516"/>
      <c r="B11" s="10" t="s">
        <v>6</v>
      </c>
      <c r="C11" s="30">
        <v>38</v>
      </c>
      <c r="D11" s="13" t="s">
        <v>6</v>
      </c>
      <c r="E11" s="30">
        <v>0</v>
      </c>
      <c r="F11" s="10" t="s">
        <v>354</v>
      </c>
      <c r="G11" s="164">
        <v>13</v>
      </c>
      <c r="H11" s="514"/>
      <c r="I11" s="22" t="s">
        <v>6</v>
      </c>
      <c r="J11" s="30">
        <v>0</v>
      </c>
      <c r="K11" s="25" t="s">
        <v>6</v>
      </c>
      <c r="L11" s="30">
        <v>0</v>
      </c>
      <c r="M11" s="22" t="s">
        <v>19</v>
      </c>
      <c r="N11" s="164">
        <v>8</v>
      </c>
    </row>
    <row r="12" spans="1:14" ht="16" thickBot="1" x14ac:dyDescent="0.25">
      <c r="A12" s="516"/>
      <c r="B12" s="11" t="s">
        <v>7</v>
      </c>
      <c r="C12" s="4">
        <v>1</v>
      </c>
      <c r="D12" s="14" t="s">
        <v>7</v>
      </c>
      <c r="E12" s="4">
        <v>1</v>
      </c>
      <c r="F12" s="11" t="s">
        <v>353</v>
      </c>
      <c r="G12" s="33">
        <v>3</v>
      </c>
      <c r="H12" s="514"/>
      <c r="I12" s="23" t="s">
        <v>7</v>
      </c>
      <c r="J12" s="4">
        <v>7</v>
      </c>
      <c r="K12" s="26" t="s">
        <v>7</v>
      </c>
      <c r="L12" s="4">
        <v>7</v>
      </c>
      <c r="M12" s="23" t="s">
        <v>20</v>
      </c>
      <c r="N12" s="33">
        <v>2</v>
      </c>
    </row>
    <row r="13" spans="1:14" ht="16" thickBot="1" x14ac:dyDescent="0.25">
      <c r="A13" s="516"/>
      <c r="B13" s="520" t="s">
        <v>0</v>
      </c>
      <c r="C13" s="521"/>
      <c r="D13" s="139" t="s">
        <v>267</v>
      </c>
      <c r="E13" s="135">
        <v>14</v>
      </c>
      <c r="F13" s="139" t="s">
        <v>268</v>
      </c>
      <c r="G13" s="134">
        <v>6</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16</v>
      </c>
      <c r="C16" s="30">
        <v>3</v>
      </c>
      <c r="D16">
        <v>0</v>
      </c>
      <c r="E16" s="30">
        <v>0</v>
      </c>
      <c r="F16">
        <v>1</v>
      </c>
      <c r="G16" s="31">
        <v>8</v>
      </c>
      <c r="H16" s="514"/>
      <c r="I16" s="1">
        <v>17</v>
      </c>
      <c r="J16" s="30">
        <v>2</v>
      </c>
      <c r="K16">
        <v>6</v>
      </c>
      <c r="L16" s="30">
        <v>1</v>
      </c>
      <c r="M16">
        <v>2</v>
      </c>
      <c r="N16" s="31">
        <v>0</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152</v>
      </c>
      <c r="C19" s="30">
        <v>26</v>
      </c>
      <c r="D19">
        <v>0</v>
      </c>
      <c r="E19" s="30">
        <v>0</v>
      </c>
      <c r="F19">
        <v>12</v>
      </c>
      <c r="G19" s="31">
        <v>76</v>
      </c>
      <c r="H19" s="514"/>
      <c r="I19" s="1">
        <v>134</v>
      </c>
      <c r="J19" s="30">
        <v>16</v>
      </c>
      <c r="K19">
        <v>46</v>
      </c>
      <c r="L19" s="30">
        <v>7</v>
      </c>
      <c r="M19">
        <v>14</v>
      </c>
      <c r="N19" s="31">
        <v>0</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v>0</v>
      </c>
      <c r="C22" s="32">
        <v>7</v>
      </c>
      <c r="D22" s="4">
        <v>4</v>
      </c>
      <c r="E22" s="32">
        <v>2</v>
      </c>
      <c r="F22" s="4">
        <v>1</v>
      </c>
      <c r="G22" s="33">
        <v>3</v>
      </c>
      <c r="H22" s="515"/>
      <c r="I22" s="3">
        <v>0</v>
      </c>
      <c r="J22" s="32">
        <v>0</v>
      </c>
      <c r="K22" s="4">
        <v>3</v>
      </c>
      <c r="L22" s="32">
        <v>1</v>
      </c>
      <c r="M22" s="4">
        <v>0</v>
      </c>
      <c r="N22" s="33">
        <v>0</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4</v>
      </c>
      <c r="C25" s="34">
        <v>0</v>
      </c>
      <c r="D25">
        <v>0</v>
      </c>
      <c r="E25" s="34">
        <v>0</v>
      </c>
      <c r="F25">
        <v>1</v>
      </c>
      <c r="G25" s="2">
        <v>4</v>
      </c>
      <c r="H25" s="21" t="s">
        <v>31</v>
      </c>
      <c r="I25">
        <v>6</v>
      </c>
      <c r="J25" s="34">
        <v>24</v>
      </c>
      <c r="K25">
        <v>0</v>
      </c>
      <c r="L25" s="34">
        <v>0</v>
      </c>
      <c r="M25">
        <v>0</v>
      </c>
      <c r="N25" s="2">
        <v>0</v>
      </c>
    </row>
    <row r="26" spans="1:14" x14ac:dyDescent="0.2">
      <c r="A26" s="10" t="s">
        <v>32</v>
      </c>
      <c r="B26" s="30">
        <v>12</v>
      </c>
      <c r="C26" s="35">
        <v>36</v>
      </c>
      <c r="D26" s="30">
        <v>0</v>
      </c>
      <c r="E26" s="35">
        <v>0</v>
      </c>
      <c r="F26" s="30">
        <v>0</v>
      </c>
      <c r="G26" s="31">
        <v>0</v>
      </c>
      <c r="H26" s="22" t="s">
        <v>32</v>
      </c>
      <c r="I26" s="30">
        <v>0</v>
      </c>
      <c r="J26" s="35">
        <v>0</v>
      </c>
      <c r="K26" s="30">
        <v>0</v>
      </c>
      <c r="L26" s="35">
        <v>0</v>
      </c>
      <c r="M26" s="30">
        <v>6</v>
      </c>
      <c r="N26" s="31">
        <v>34</v>
      </c>
    </row>
    <row r="27" spans="1:14" x14ac:dyDescent="0.2">
      <c r="A27" s="10" t="s">
        <v>33</v>
      </c>
      <c r="B27">
        <v>0</v>
      </c>
      <c r="C27" s="36">
        <v>0</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79C6D-4158-4421-AAD6-EB20B1EE7B82}">
  <sheetPr codeName="Sheet31">
    <tabColor theme="4"/>
  </sheetPr>
  <dimension ref="A1:N34"/>
  <sheetViews>
    <sheetView workbookViewId="0">
      <selection activeCell="K43" sqref="K43"/>
    </sheetView>
  </sheetViews>
  <sheetFormatPr baseColWidth="10" defaultColWidth="8.83203125" defaultRowHeight="15" x14ac:dyDescent="0.2"/>
  <sheetData>
    <row r="1" spans="1:14" ht="16" thickBot="1" x14ac:dyDescent="0.25">
      <c r="A1" s="512" t="s">
        <v>325</v>
      </c>
      <c r="B1" s="513"/>
      <c r="C1" s="513"/>
      <c r="D1" s="513"/>
      <c r="E1" s="513"/>
      <c r="F1" s="513"/>
      <c r="G1" s="513"/>
      <c r="H1" s="145">
        <v>26</v>
      </c>
      <c r="I1" s="144" t="s">
        <v>298</v>
      </c>
      <c r="J1" s="144"/>
      <c r="K1" s="145">
        <v>2023</v>
      </c>
      <c r="L1" s="142"/>
      <c r="M1" s="142"/>
      <c r="N1" s="143"/>
    </row>
    <row r="2" spans="1:14" ht="16" thickBot="1" x14ac:dyDescent="0.25">
      <c r="A2" s="412" t="s">
        <v>13</v>
      </c>
      <c r="B2" s="413"/>
      <c r="C2" s="413"/>
      <c r="D2" s="413"/>
      <c r="E2" s="413"/>
      <c r="F2" s="413"/>
      <c r="G2" s="444"/>
      <c r="H2" s="414" t="s">
        <v>4</v>
      </c>
      <c r="I2" s="415"/>
      <c r="J2" s="415"/>
      <c r="K2" s="415"/>
      <c r="L2" s="415"/>
      <c r="M2" s="415"/>
      <c r="N2" s="462"/>
    </row>
    <row r="3" spans="1:14" x14ac:dyDescent="0.2">
      <c r="A3" s="516"/>
      <c r="B3" s="426" t="s">
        <v>11</v>
      </c>
      <c r="C3" s="424"/>
      <c r="D3" s="424"/>
      <c r="E3" s="424"/>
      <c r="F3" s="424"/>
      <c r="G3" s="425"/>
      <c r="H3" s="514"/>
      <c r="I3" s="411" t="s">
        <v>11</v>
      </c>
      <c r="J3" s="409"/>
      <c r="K3" s="409"/>
      <c r="L3" s="409"/>
      <c r="M3" s="409"/>
      <c r="N3" s="410"/>
    </row>
    <row r="4" spans="1:14" x14ac:dyDescent="0.2">
      <c r="A4" s="516"/>
      <c r="B4" s="518" t="s">
        <v>8</v>
      </c>
      <c r="C4" s="519"/>
      <c r="D4" s="519" t="s">
        <v>9</v>
      </c>
      <c r="E4" s="519"/>
      <c r="F4" s="519" t="s">
        <v>10</v>
      </c>
      <c r="G4" s="534"/>
      <c r="H4" s="514"/>
      <c r="I4" s="532" t="s">
        <v>8</v>
      </c>
      <c r="J4" s="533"/>
      <c r="K4" s="533" t="s">
        <v>9</v>
      </c>
      <c r="L4" s="533"/>
      <c r="M4" s="533" t="s">
        <v>10</v>
      </c>
      <c r="N4" s="535"/>
    </row>
    <row r="5" spans="1:14" x14ac:dyDescent="0.2">
      <c r="A5" s="516"/>
      <c r="B5" s="9" t="s">
        <v>5</v>
      </c>
      <c r="C5" s="165">
        <v>202</v>
      </c>
      <c r="D5" s="12" t="s">
        <v>263</v>
      </c>
      <c r="E5" s="165">
        <v>184</v>
      </c>
      <c r="F5" s="12" t="s">
        <v>5</v>
      </c>
      <c r="G5" s="164">
        <v>53</v>
      </c>
      <c r="H5" s="514"/>
      <c r="I5" s="21" t="s">
        <v>5</v>
      </c>
      <c r="J5" s="165">
        <v>27</v>
      </c>
      <c r="K5" s="24" t="s">
        <v>263</v>
      </c>
      <c r="L5" s="165">
        <v>144</v>
      </c>
      <c r="M5" s="24" t="s">
        <v>5</v>
      </c>
      <c r="N5" s="164">
        <v>78</v>
      </c>
    </row>
    <row r="6" spans="1:14" x14ac:dyDescent="0.2">
      <c r="A6" s="516"/>
      <c r="B6" s="10" t="s">
        <v>6</v>
      </c>
      <c r="C6" s="30">
        <v>0</v>
      </c>
      <c r="D6" s="13" t="s">
        <v>5</v>
      </c>
      <c r="E6" s="30">
        <v>110.39999999999999</v>
      </c>
      <c r="F6" s="13" t="s">
        <v>6</v>
      </c>
      <c r="G6" s="31">
        <v>0</v>
      </c>
      <c r="H6" s="514"/>
      <c r="I6" s="22" t="s">
        <v>6</v>
      </c>
      <c r="J6" s="30">
        <v>0</v>
      </c>
      <c r="K6" s="25" t="s">
        <v>329</v>
      </c>
      <c r="L6" s="30">
        <v>144</v>
      </c>
      <c r="M6" s="25" t="s">
        <v>6</v>
      </c>
      <c r="N6" s="31">
        <v>0</v>
      </c>
    </row>
    <row r="7" spans="1:14" ht="16" thickBot="1" x14ac:dyDescent="0.25">
      <c r="A7" s="516"/>
      <c r="B7" s="11" t="s">
        <v>7</v>
      </c>
      <c r="C7" s="4" t="s">
        <v>197</v>
      </c>
      <c r="D7" s="14" t="s">
        <v>7</v>
      </c>
      <c r="E7" s="4">
        <v>73.600000000000009</v>
      </c>
      <c r="F7" s="14" t="s">
        <v>7</v>
      </c>
      <c r="G7" s="5">
        <v>0</v>
      </c>
      <c r="H7" s="514"/>
      <c r="I7" s="23" t="s">
        <v>7</v>
      </c>
      <c r="J7" s="4" t="s">
        <v>197</v>
      </c>
      <c r="K7" s="26" t="s">
        <v>7</v>
      </c>
      <c r="L7" s="4">
        <v>0</v>
      </c>
      <c r="M7" s="26" t="s">
        <v>7</v>
      </c>
      <c r="N7" s="5">
        <v>0</v>
      </c>
    </row>
    <row r="8" spans="1:14" x14ac:dyDescent="0.2">
      <c r="A8" s="516"/>
      <c r="B8" s="426" t="s">
        <v>12</v>
      </c>
      <c r="C8" s="424"/>
      <c r="D8" s="424"/>
      <c r="E8" s="424"/>
      <c r="F8" s="426" t="s">
        <v>2</v>
      </c>
      <c r="G8" s="425"/>
      <c r="H8" s="514"/>
      <c r="I8" s="411" t="s">
        <v>12</v>
      </c>
      <c r="J8" s="409"/>
      <c r="K8" s="409"/>
      <c r="L8" s="409"/>
      <c r="M8" s="411" t="s">
        <v>2</v>
      </c>
      <c r="N8" s="410"/>
    </row>
    <row r="9" spans="1:14" x14ac:dyDescent="0.2">
      <c r="A9" s="516"/>
      <c r="B9" s="518" t="s">
        <v>8</v>
      </c>
      <c r="C9" s="519"/>
      <c r="D9" s="519" t="s">
        <v>10</v>
      </c>
      <c r="E9" s="519"/>
      <c r="F9" s="9" t="s">
        <v>17</v>
      </c>
      <c r="G9" s="2">
        <v>26</v>
      </c>
      <c r="H9" s="514"/>
      <c r="I9" s="532" t="s">
        <v>8</v>
      </c>
      <c r="J9" s="533"/>
      <c r="K9" s="533" t="s">
        <v>10</v>
      </c>
      <c r="L9" s="533"/>
      <c r="M9" s="21" t="s">
        <v>17</v>
      </c>
      <c r="N9" s="2">
        <v>26</v>
      </c>
    </row>
    <row r="10" spans="1:14" x14ac:dyDescent="0.2">
      <c r="A10" s="516"/>
      <c r="B10" s="10" t="s">
        <v>5</v>
      </c>
      <c r="C10">
        <v>52</v>
      </c>
      <c r="D10" s="13" t="s">
        <v>5</v>
      </c>
      <c r="E10">
        <v>51</v>
      </c>
      <c r="F10" s="10" t="s">
        <v>18</v>
      </c>
      <c r="G10" s="31">
        <v>5</v>
      </c>
      <c r="H10" s="514"/>
      <c r="I10" s="22" t="s">
        <v>5</v>
      </c>
      <c r="J10">
        <v>7</v>
      </c>
      <c r="K10" s="25" t="s">
        <v>5</v>
      </c>
      <c r="L10">
        <v>7</v>
      </c>
      <c r="M10" s="22" t="s">
        <v>18</v>
      </c>
      <c r="N10" s="31">
        <v>5</v>
      </c>
    </row>
    <row r="11" spans="1:14" x14ac:dyDescent="0.2">
      <c r="A11" s="516"/>
      <c r="B11" s="10" t="s">
        <v>6</v>
      </c>
      <c r="C11" s="30">
        <v>3</v>
      </c>
      <c r="D11" s="13" t="s">
        <v>6</v>
      </c>
      <c r="E11" s="30">
        <v>2</v>
      </c>
      <c r="F11" s="10" t="s">
        <v>354</v>
      </c>
      <c r="G11" s="164">
        <v>12</v>
      </c>
      <c r="H11" s="514"/>
      <c r="I11" s="22" t="s">
        <v>6</v>
      </c>
      <c r="J11" s="30">
        <v>0</v>
      </c>
      <c r="K11" s="25" t="s">
        <v>6</v>
      </c>
      <c r="L11" s="30">
        <v>0</v>
      </c>
      <c r="M11" s="22" t="s">
        <v>19</v>
      </c>
      <c r="N11" s="164">
        <v>6</v>
      </c>
    </row>
    <row r="12" spans="1:14" ht="16" thickBot="1" x14ac:dyDescent="0.25">
      <c r="A12" s="516"/>
      <c r="B12" s="11" t="s">
        <v>7</v>
      </c>
      <c r="C12" s="4">
        <v>8</v>
      </c>
      <c r="D12" s="14" t="s">
        <v>7</v>
      </c>
      <c r="E12" s="4">
        <v>8</v>
      </c>
      <c r="F12" s="11" t="s">
        <v>353</v>
      </c>
      <c r="G12" s="33">
        <v>3</v>
      </c>
      <c r="H12" s="514"/>
      <c r="I12" s="23" t="s">
        <v>7</v>
      </c>
      <c r="J12" s="4">
        <v>0</v>
      </c>
      <c r="K12" s="26" t="s">
        <v>7</v>
      </c>
      <c r="L12" s="4">
        <v>0</v>
      </c>
      <c r="M12" s="23" t="s">
        <v>20</v>
      </c>
      <c r="N12" s="33">
        <v>1</v>
      </c>
    </row>
    <row r="13" spans="1:14" ht="16" thickBot="1" x14ac:dyDescent="0.25">
      <c r="A13" s="516"/>
      <c r="B13" s="520" t="s">
        <v>0</v>
      </c>
      <c r="C13" s="521"/>
      <c r="D13" s="139" t="s">
        <v>267</v>
      </c>
      <c r="E13" s="135">
        <v>14</v>
      </c>
      <c r="F13" s="139" t="s">
        <v>268</v>
      </c>
      <c r="G13" s="134">
        <v>9</v>
      </c>
      <c r="H13" s="514"/>
      <c r="I13" s="523" t="s">
        <v>0</v>
      </c>
      <c r="J13" s="524"/>
      <c r="K13" s="133" t="s">
        <v>267</v>
      </c>
      <c r="L13" s="135">
        <v>15</v>
      </c>
      <c r="M13" s="133" t="s">
        <v>268</v>
      </c>
      <c r="N13" s="134">
        <v>10</v>
      </c>
    </row>
    <row r="14" spans="1:14" x14ac:dyDescent="0.2">
      <c r="A14" s="516"/>
      <c r="B14" s="522" t="s">
        <v>262</v>
      </c>
      <c r="C14" s="322"/>
      <c r="D14" s="322"/>
      <c r="E14" s="322"/>
      <c r="F14" s="322"/>
      <c r="G14" s="323"/>
      <c r="H14" s="514"/>
      <c r="I14" s="525" t="s">
        <v>262</v>
      </c>
      <c r="J14" s="320"/>
      <c r="K14" s="320"/>
      <c r="L14" s="320"/>
      <c r="M14" s="320"/>
      <c r="N14" s="321"/>
    </row>
    <row r="15" spans="1:14" x14ac:dyDescent="0.2">
      <c r="A15" s="516"/>
      <c r="B15" s="136" t="s">
        <v>263</v>
      </c>
      <c r="C15" s="137" t="s">
        <v>132</v>
      </c>
      <c r="D15" s="137" t="s">
        <v>264</v>
      </c>
      <c r="E15" s="137" t="s">
        <v>22</v>
      </c>
      <c r="F15" s="137" t="s">
        <v>259</v>
      </c>
      <c r="G15" s="138" t="s">
        <v>97</v>
      </c>
      <c r="H15" s="514"/>
      <c r="I15" s="27" t="s">
        <v>263</v>
      </c>
      <c r="J15" s="28" t="s">
        <v>132</v>
      </c>
      <c r="K15" s="28" t="s">
        <v>264</v>
      </c>
      <c r="L15" s="28" t="s">
        <v>22</v>
      </c>
      <c r="M15" s="28" t="s">
        <v>259</v>
      </c>
      <c r="N15" s="29" t="s">
        <v>97</v>
      </c>
    </row>
    <row r="16" spans="1:14" ht="16" thickBot="1" x14ac:dyDescent="0.25">
      <c r="A16" s="516"/>
      <c r="B16" s="1">
        <v>16</v>
      </c>
      <c r="C16" s="30">
        <v>3</v>
      </c>
      <c r="D16">
        <v>0</v>
      </c>
      <c r="E16" s="30">
        <v>0</v>
      </c>
      <c r="F16">
        <v>1</v>
      </c>
      <c r="G16" s="31">
        <v>8</v>
      </c>
      <c r="H16" s="514"/>
      <c r="I16" s="1">
        <v>24</v>
      </c>
      <c r="J16" s="30">
        <v>4</v>
      </c>
      <c r="K16">
        <v>4</v>
      </c>
      <c r="L16" s="30">
        <v>1</v>
      </c>
      <c r="M16">
        <v>0</v>
      </c>
      <c r="N16" s="31">
        <v>2</v>
      </c>
    </row>
    <row r="17" spans="1:14" x14ac:dyDescent="0.2">
      <c r="A17" s="516"/>
      <c r="B17" s="522" t="s">
        <v>265</v>
      </c>
      <c r="C17" s="322"/>
      <c r="D17" s="322"/>
      <c r="E17" s="322"/>
      <c r="F17" s="322"/>
      <c r="G17" s="323"/>
      <c r="H17" s="514"/>
      <c r="I17" s="525" t="s">
        <v>265</v>
      </c>
      <c r="J17" s="320"/>
      <c r="K17" s="320"/>
      <c r="L17" s="320"/>
      <c r="M17" s="320"/>
      <c r="N17" s="321"/>
    </row>
    <row r="18" spans="1:14" x14ac:dyDescent="0.2">
      <c r="A18" s="516"/>
      <c r="B18" s="136" t="s">
        <v>263</v>
      </c>
      <c r="C18" s="137" t="s">
        <v>132</v>
      </c>
      <c r="D18" s="137" t="s">
        <v>264</v>
      </c>
      <c r="E18" s="137" t="s">
        <v>22</v>
      </c>
      <c r="F18" s="137" t="s">
        <v>259</v>
      </c>
      <c r="G18" s="138" t="s">
        <v>97</v>
      </c>
      <c r="H18" s="514"/>
      <c r="I18" s="27" t="s">
        <v>263</v>
      </c>
      <c r="J18" s="28" t="s">
        <v>132</v>
      </c>
      <c r="K18" s="28" t="s">
        <v>264</v>
      </c>
      <c r="L18" s="28" t="s">
        <v>22</v>
      </c>
      <c r="M18" s="28" t="s">
        <v>259</v>
      </c>
      <c r="N18" s="29" t="s">
        <v>97</v>
      </c>
    </row>
    <row r="19" spans="1:14" ht="16" thickBot="1" x14ac:dyDescent="0.25">
      <c r="A19" s="516"/>
      <c r="B19" s="1">
        <v>184</v>
      </c>
      <c r="C19" s="30">
        <v>34</v>
      </c>
      <c r="D19">
        <v>0</v>
      </c>
      <c r="E19" s="30">
        <v>0</v>
      </c>
      <c r="F19">
        <v>12</v>
      </c>
      <c r="G19" s="31">
        <v>92</v>
      </c>
      <c r="H19" s="514"/>
      <c r="I19" s="1">
        <v>144</v>
      </c>
      <c r="J19" s="30">
        <v>24</v>
      </c>
      <c r="K19">
        <v>24</v>
      </c>
      <c r="L19" s="30">
        <v>6</v>
      </c>
      <c r="M19">
        <v>0</v>
      </c>
      <c r="N19" s="31">
        <v>12</v>
      </c>
    </row>
    <row r="20" spans="1:14" x14ac:dyDescent="0.2">
      <c r="A20" s="516"/>
      <c r="B20" s="426" t="s">
        <v>1</v>
      </c>
      <c r="C20" s="424"/>
      <c r="D20" s="424"/>
      <c r="E20" s="424"/>
      <c r="F20" s="424"/>
      <c r="G20" s="425"/>
      <c r="H20" s="514"/>
      <c r="I20" s="411" t="s">
        <v>1</v>
      </c>
      <c r="J20" s="409"/>
      <c r="K20" s="409"/>
      <c r="L20" s="409"/>
      <c r="M20" s="409"/>
      <c r="N20" s="410"/>
    </row>
    <row r="21" spans="1:14" x14ac:dyDescent="0.2">
      <c r="A21" s="516"/>
      <c r="B21" s="136" t="s">
        <v>266</v>
      </c>
      <c r="C21" s="137" t="s">
        <v>45</v>
      </c>
      <c r="D21" s="137" t="s">
        <v>15</v>
      </c>
      <c r="E21" s="137" t="s">
        <v>14</v>
      </c>
      <c r="F21" s="137" t="s">
        <v>42</v>
      </c>
      <c r="G21" s="138" t="s">
        <v>44</v>
      </c>
      <c r="H21" s="514"/>
      <c r="I21" s="18" t="s">
        <v>266</v>
      </c>
      <c r="J21" s="19" t="s">
        <v>45</v>
      </c>
      <c r="K21" s="19" t="s">
        <v>15</v>
      </c>
      <c r="L21" s="19" t="s">
        <v>14</v>
      </c>
      <c r="M21" s="19" t="s">
        <v>41</v>
      </c>
      <c r="N21" s="20" t="s">
        <v>43</v>
      </c>
    </row>
    <row r="22" spans="1:14" ht="16" thickBot="1" x14ac:dyDescent="0.25">
      <c r="A22" s="517"/>
      <c r="B22" s="3"/>
      <c r="C22" s="32"/>
      <c r="D22" s="4">
        <v>3</v>
      </c>
      <c r="E22" s="32">
        <v>3</v>
      </c>
      <c r="F22" s="4"/>
      <c r="G22" s="33"/>
      <c r="H22" s="515"/>
      <c r="I22" s="3">
        <v>0</v>
      </c>
      <c r="J22" s="32">
        <v>0</v>
      </c>
      <c r="K22" s="4">
        <v>2</v>
      </c>
      <c r="L22" s="32">
        <v>0</v>
      </c>
      <c r="M22" s="4">
        <v>1</v>
      </c>
      <c r="N22" s="33">
        <v>4</v>
      </c>
    </row>
    <row r="23" spans="1:14" x14ac:dyDescent="0.2">
      <c r="A23" s="426" t="s">
        <v>23</v>
      </c>
      <c r="B23" s="424"/>
      <c r="C23" s="424"/>
      <c r="D23" s="424"/>
      <c r="E23" s="424"/>
      <c r="F23" s="424"/>
      <c r="G23" s="425"/>
      <c r="H23" s="411" t="s">
        <v>23</v>
      </c>
      <c r="I23" s="409"/>
      <c r="J23" s="409"/>
      <c r="K23" s="409"/>
      <c r="L23" s="409"/>
      <c r="M23" s="409"/>
      <c r="N23" s="410"/>
    </row>
    <row r="24" spans="1:14" x14ac:dyDescent="0.2">
      <c r="A24" s="136" t="s">
        <v>24</v>
      </c>
      <c r="B24" s="137" t="s">
        <v>25</v>
      </c>
      <c r="C24" s="137" t="s">
        <v>28</v>
      </c>
      <c r="D24" s="137" t="s">
        <v>26</v>
      </c>
      <c r="E24" s="137" t="s">
        <v>30</v>
      </c>
      <c r="F24" s="137" t="s">
        <v>27</v>
      </c>
      <c r="G24" s="138" t="s">
        <v>29</v>
      </c>
      <c r="H24" s="18" t="s">
        <v>24</v>
      </c>
      <c r="I24" s="19" t="s">
        <v>25</v>
      </c>
      <c r="J24" s="19" t="s">
        <v>28</v>
      </c>
      <c r="K24" s="19" t="s">
        <v>26</v>
      </c>
      <c r="L24" s="19" t="s">
        <v>30</v>
      </c>
      <c r="M24" s="19" t="s">
        <v>27</v>
      </c>
      <c r="N24" s="20" t="s">
        <v>29</v>
      </c>
    </row>
    <row r="25" spans="1:14" x14ac:dyDescent="0.2">
      <c r="A25" s="9" t="s">
        <v>31</v>
      </c>
      <c r="B25">
        <v>19</v>
      </c>
      <c r="C25" s="34">
        <v>51</v>
      </c>
      <c r="D25">
        <v>0</v>
      </c>
      <c r="E25" s="34">
        <v>0</v>
      </c>
      <c r="F25">
        <v>0</v>
      </c>
      <c r="G25" s="2">
        <v>0</v>
      </c>
      <c r="H25" s="21" t="s">
        <v>31</v>
      </c>
      <c r="I25">
        <v>0</v>
      </c>
      <c r="J25" s="34">
        <v>0</v>
      </c>
      <c r="K25">
        <v>0</v>
      </c>
      <c r="L25" s="34">
        <v>0</v>
      </c>
      <c r="M25">
        <v>0</v>
      </c>
      <c r="N25" s="2">
        <v>0</v>
      </c>
    </row>
    <row r="26" spans="1:14" x14ac:dyDescent="0.2">
      <c r="A26" s="10" t="s">
        <v>32</v>
      </c>
      <c r="B26" s="30">
        <v>30</v>
      </c>
      <c r="C26" s="35">
        <v>2</v>
      </c>
      <c r="D26" s="30">
        <v>0</v>
      </c>
      <c r="E26" s="35">
        <v>0</v>
      </c>
      <c r="F26" s="30">
        <v>0</v>
      </c>
      <c r="G26" s="31">
        <v>0</v>
      </c>
      <c r="H26" s="22" t="s">
        <v>32</v>
      </c>
      <c r="I26" s="30">
        <v>7</v>
      </c>
      <c r="J26" s="35">
        <v>78</v>
      </c>
      <c r="K26" s="30">
        <v>0</v>
      </c>
      <c r="L26" s="35">
        <v>0</v>
      </c>
      <c r="M26" s="30">
        <v>0</v>
      </c>
      <c r="N26" s="31">
        <v>0</v>
      </c>
    </row>
    <row r="27" spans="1:14" x14ac:dyDescent="0.2">
      <c r="A27" s="10" t="s">
        <v>33</v>
      </c>
      <c r="B27">
        <v>0</v>
      </c>
      <c r="C27" s="36">
        <v>0</v>
      </c>
      <c r="D27">
        <v>0</v>
      </c>
      <c r="E27" s="36">
        <v>0</v>
      </c>
      <c r="F27">
        <v>0</v>
      </c>
      <c r="G27" s="2">
        <v>0</v>
      </c>
      <c r="H27" s="22" t="s">
        <v>33</v>
      </c>
      <c r="I27">
        <v>0</v>
      </c>
      <c r="J27" s="36">
        <v>0</v>
      </c>
      <c r="K27">
        <v>0</v>
      </c>
      <c r="L27" s="36">
        <v>0</v>
      </c>
      <c r="M27">
        <v>0</v>
      </c>
      <c r="N27" s="2">
        <v>0</v>
      </c>
    </row>
    <row r="28" spans="1:14" x14ac:dyDescent="0.2">
      <c r="A28" s="10" t="s">
        <v>34</v>
      </c>
      <c r="B28" s="30">
        <v>0</v>
      </c>
      <c r="C28" s="35">
        <v>0</v>
      </c>
      <c r="D28" s="30">
        <v>0</v>
      </c>
      <c r="E28" s="35">
        <v>0</v>
      </c>
      <c r="F28" s="30">
        <v>0</v>
      </c>
      <c r="G28" s="31">
        <v>0</v>
      </c>
      <c r="H28" s="22" t="s">
        <v>34</v>
      </c>
      <c r="I28" s="30">
        <v>0</v>
      </c>
      <c r="J28" s="35">
        <v>0</v>
      </c>
      <c r="K28" s="30">
        <v>0</v>
      </c>
      <c r="L28" s="35">
        <v>0</v>
      </c>
      <c r="M28" s="30">
        <v>0</v>
      </c>
      <c r="N28" s="31">
        <v>0</v>
      </c>
    </row>
    <row r="29" spans="1:14" x14ac:dyDescent="0.2">
      <c r="A29" s="10" t="s">
        <v>35</v>
      </c>
      <c r="B29">
        <v>0</v>
      </c>
      <c r="C29" s="36">
        <v>0</v>
      </c>
      <c r="D29">
        <v>0</v>
      </c>
      <c r="E29" s="36">
        <v>0</v>
      </c>
      <c r="F29">
        <v>0</v>
      </c>
      <c r="G29" s="2">
        <v>0</v>
      </c>
      <c r="H29" s="22" t="s">
        <v>35</v>
      </c>
      <c r="I29">
        <v>0</v>
      </c>
      <c r="J29" s="36">
        <v>0</v>
      </c>
      <c r="K29">
        <v>0</v>
      </c>
      <c r="L29" s="36">
        <v>0</v>
      </c>
      <c r="M29">
        <v>0</v>
      </c>
      <c r="N29" s="2">
        <v>0</v>
      </c>
    </row>
    <row r="30" spans="1:14" x14ac:dyDescent="0.2">
      <c r="A30" s="10" t="s">
        <v>36</v>
      </c>
      <c r="B30" s="30">
        <v>0</v>
      </c>
      <c r="C30" s="35">
        <v>0</v>
      </c>
      <c r="D30" s="30">
        <v>0</v>
      </c>
      <c r="E30" s="35">
        <v>0</v>
      </c>
      <c r="F30" s="30">
        <v>0</v>
      </c>
      <c r="G30" s="31">
        <v>0</v>
      </c>
      <c r="H30" s="22" t="s">
        <v>36</v>
      </c>
      <c r="I30" s="30">
        <v>0</v>
      </c>
      <c r="J30" s="35">
        <v>0</v>
      </c>
      <c r="K30" s="30">
        <v>0</v>
      </c>
      <c r="L30" s="35">
        <v>0</v>
      </c>
      <c r="M30" s="30">
        <v>0</v>
      </c>
      <c r="N30" s="31">
        <v>0</v>
      </c>
    </row>
    <row r="31" spans="1:14" x14ac:dyDescent="0.2">
      <c r="A31" s="10" t="s">
        <v>37</v>
      </c>
      <c r="B31">
        <v>0</v>
      </c>
      <c r="C31" s="36">
        <v>0</v>
      </c>
      <c r="D31">
        <v>0</v>
      </c>
      <c r="E31" s="36">
        <v>0</v>
      </c>
      <c r="F31">
        <v>0</v>
      </c>
      <c r="G31" s="2">
        <v>0</v>
      </c>
      <c r="H31" s="22" t="s">
        <v>37</v>
      </c>
      <c r="I31">
        <v>0</v>
      </c>
      <c r="J31" s="36">
        <v>0</v>
      </c>
      <c r="K31">
        <v>0</v>
      </c>
      <c r="L31" s="36">
        <v>0</v>
      </c>
      <c r="M31">
        <v>0</v>
      </c>
      <c r="N31" s="2">
        <v>0</v>
      </c>
    </row>
    <row r="32" spans="1:14" x14ac:dyDescent="0.2">
      <c r="A32" s="10" t="s">
        <v>38</v>
      </c>
      <c r="B32" s="30">
        <v>0</v>
      </c>
      <c r="C32" s="35">
        <v>0</v>
      </c>
      <c r="D32" s="30">
        <v>0</v>
      </c>
      <c r="E32" s="35">
        <v>0</v>
      </c>
      <c r="F32" s="30">
        <v>0</v>
      </c>
      <c r="G32" s="31">
        <v>0</v>
      </c>
      <c r="H32" s="22" t="s">
        <v>38</v>
      </c>
      <c r="I32" s="30">
        <v>0</v>
      </c>
      <c r="J32" s="35">
        <v>0</v>
      </c>
      <c r="K32" s="30">
        <v>0</v>
      </c>
      <c r="L32" s="35">
        <v>0</v>
      </c>
      <c r="M32" s="30">
        <v>0</v>
      </c>
      <c r="N32" s="31">
        <v>0</v>
      </c>
    </row>
    <row r="33" spans="1:14" x14ac:dyDescent="0.2">
      <c r="A33" s="10" t="s">
        <v>39</v>
      </c>
      <c r="B33">
        <v>0</v>
      </c>
      <c r="C33" s="36">
        <v>0</v>
      </c>
      <c r="D33">
        <v>0</v>
      </c>
      <c r="E33" s="36">
        <v>0</v>
      </c>
      <c r="F33">
        <v>0</v>
      </c>
      <c r="G33" s="2">
        <v>0</v>
      </c>
      <c r="H33" s="22" t="s">
        <v>39</v>
      </c>
      <c r="I33">
        <v>0</v>
      </c>
      <c r="J33" s="36">
        <v>0</v>
      </c>
      <c r="K33">
        <v>0</v>
      </c>
      <c r="L33" s="36">
        <v>0</v>
      </c>
      <c r="M33">
        <v>0</v>
      </c>
      <c r="N33" s="2">
        <v>0</v>
      </c>
    </row>
    <row r="34" spans="1:14" ht="16" thickBot="1" x14ac:dyDescent="0.25">
      <c r="A34" s="11" t="s">
        <v>40</v>
      </c>
      <c r="B34" s="32">
        <v>0</v>
      </c>
      <c r="C34" s="37">
        <v>0</v>
      </c>
      <c r="D34" s="32">
        <v>0</v>
      </c>
      <c r="E34" s="37">
        <v>0</v>
      </c>
      <c r="F34" s="32">
        <v>0</v>
      </c>
      <c r="G34" s="33">
        <v>0</v>
      </c>
      <c r="H34" s="23" t="s">
        <v>40</v>
      </c>
      <c r="I34" s="32">
        <v>0</v>
      </c>
      <c r="J34" s="37">
        <v>0</v>
      </c>
      <c r="K34" s="32">
        <v>0</v>
      </c>
      <c r="L34" s="37">
        <v>0</v>
      </c>
      <c r="M34" s="32">
        <v>0</v>
      </c>
      <c r="N34" s="33">
        <v>0</v>
      </c>
    </row>
  </sheetData>
  <mergeCells count="31">
    <mergeCell ref="A1:G1"/>
    <mergeCell ref="A2:G2"/>
    <mergeCell ref="H2:N2"/>
    <mergeCell ref="A3:A22"/>
    <mergeCell ref="B3:G3"/>
    <mergeCell ref="H3:H22"/>
    <mergeCell ref="I3:N3"/>
    <mergeCell ref="B4:C4"/>
    <mergeCell ref="D4:E4"/>
    <mergeCell ref="F4:G4"/>
    <mergeCell ref="I4:J4"/>
    <mergeCell ref="K4:L4"/>
    <mergeCell ref="M4:N4"/>
    <mergeCell ref="B8:E8"/>
    <mergeCell ref="F8:G8"/>
    <mergeCell ref="I8:L8"/>
    <mergeCell ref="M8:N8"/>
    <mergeCell ref="B9:C9"/>
    <mergeCell ref="D9:E9"/>
    <mergeCell ref="I9:J9"/>
    <mergeCell ref="K9:L9"/>
    <mergeCell ref="B13:C13"/>
    <mergeCell ref="I13:J13"/>
    <mergeCell ref="A23:G23"/>
    <mergeCell ref="H23:N23"/>
    <mergeCell ref="B14:G14"/>
    <mergeCell ref="I14:N14"/>
    <mergeCell ref="B17:G17"/>
    <mergeCell ref="I17:N17"/>
    <mergeCell ref="B20:G20"/>
    <mergeCell ref="I20:N20"/>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17690-4596-4EA3-A0C5-4080CE8DC8F4}">
  <sheetPr codeName="Sheet23">
    <tabColor rgb="FFFF0000"/>
  </sheetPr>
  <dimension ref="A1:H7"/>
  <sheetViews>
    <sheetView workbookViewId="0">
      <selection activeCell="I14" sqref="I14"/>
    </sheetView>
  </sheetViews>
  <sheetFormatPr baseColWidth="10" defaultColWidth="8.83203125" defaultRowHeight="15" x14ac:dyDescent="0.2"/>
  <cols>
    <col min="1" max="1" width="13.33203125" bestFit="1" customWidth="1"/>
    <col min="5" max="5" width="13.33203125" bestFit="1" customWidth="1"/>
  </cols>
  <sheetData>
    <row r="1" spans="1:8" x14ac:dyDescent="0.2">
      <c r="A1" s="469" t="s">
        <v>334</v>
      </c>
      <c r="B1" s="469"/>
      <c r="C1" s="469" t="s">
        <v>335</v>
      </c>
      <c r="D1" s="469"/>
      <c r="E1" s="469" t="s">
        <v>336</v>
      </c>
      <c r="F1" s="469"/>
      <c r="G1" s="469" t="s">
        <v>337</v>
      </c>
      <c r="H1" s="469"/>
    </row>
    <row r="2" spans="1:8" x14ac:dyDescent="0.2">
      <c r="A2" t="s">
        <v>338</v>
      </c>
      <c r="B2">
        <f>WeekReport!B19</f>
        <v>148</v>
      </c>
      <c r="C2" t="s">
        <v>5</v>
      </c>
      <c r="D2">
        <f>WeekReport!G5 - WeekReport!G6</f>
        <v>0</v>
      </c>
      <c r="E2" t="s">
        <v>338</v>
      </c>
      <c r="F2">
        <f>WeekReport!I19</f>
        <v>167</v>
      </c>
      <c r="G2" t="s">
        <v>5</v>
      </c>
      <c r="H2">
        <f>WeekReport!N5 - WeekReport!N6</f>
        <v>108</v>
      </c>
    </row>
    <row r="3" spans="1:8" x14ac:dyDescent="0.2">
      <c r="A3" t="s">
        <v>132</v>
      </c>
      <c r="B3">
        <f>WeekReport!C19</f>
        <v>50</v>
      </c>
      <c r="C3" t="s">
        <v>6</v>
      </c>
      <c r="D3">
        <f>WeekReport!G6</f>
        <v>27</v>
      </c>
      <c r="E3" t="s">
        <v>132</v>
      </c>
      <c r="F3">
        <f>WeekReport!J19</f>
        <v>40</v>
      </c>
      <c r="G3" t="s">
        <v>6</v>
      </c>
      <c r="H3">
        <f>WeekReport!N6</f>
        <v>56</v>
      </c>
    </row>
    <row r="4" spans="1:8" x14ac:dyDescent="0.2">
      <c r="A4" t="s">
        <v>339</v>
      </c>
      <c r="B4">
        <f>WeekReport!D19</f>
        <v>0</v>
      </c>
      <c r="C4" t="s">
        <v>7</v>
      </c>
      <c r="D4">
        <f>WeekReport!G7</f>
        <v>0</v>
      </c>
      <c r="E4" t="s">
        <v>339</v>
      </c>
      <c r="F4">
        <f>WeekReport!K19</f>
        <v>0</v>
      </c>
      <c r="G4" t="s">
        <v>7</v>
      </c>
      <c r="H4">
        <f>WeekReport!N7</f>
        <v>0</v>
      </c>
    </row>
    <row r="5" spans="1:8" x14ac:dyDescent="0.2">
      <c r="A5" t="s">
        <v>97</v>
      </c>
      <c r="B5">
        <f>WeekReport!G19</f>
        <v>68</v>
      </c>
      <c r="E5" t="s">
        <v>97</v>
      </c>
      <c r="F5">
        <f>WeekReport!N19</f>
        <v>30</v>
      </c>
    </row>
    <row r="6" spans="1:8" x14ac:dyDescent="0.2">
      <c r="A6" t="s">
        <v>22</v>
      </c>
      <c r="B6">
        <f>WeekReport!E19</f>
        <v>16</v>
      </c>
      <c r="E6" t="s">
        <v>22</v>
      </c>
      <c r="F6">
        <f>WeekReport!L19</f>
        <v>0</v>
      </c>
    </row>
    <row r="7" spans="1:8" x14ac:dyDescent="0.2">
      <c r="A7" t="s">
        <v>259</v>
      </c>
      <c r="B7">
        <f>WeekReport!F19</f>
        <v>60</v>
      </c>
      <c r="E7" t="s">
        <v>259</v>
      </c>
      <c r="F7">
        <f>WeekReport!M19</f>
        <v>36</v>
      </c>
    </row>
  </sheetData>
  <mergeCells count="4">
    <mergeCell ref="A1:B1"/>
    <mergeCell ref="C1:D1"/>
    <mergeCell ref="E1:F1"/>
    <mergeCell ref="G1:H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C6E95-DA76-4AF9-B478-765DA6C08B71}">
  <sheetPr codeName="Sheet2">
    <tabColor theme="5"/>
    <pageSetUpPr fitToPage="1"/>
  </sheetPr>
  <dimension ref="A1:T91"/>
  <sheetViews>
    <sheetView workbookViewId="0">
      <selection activeCell="C4" sqref="C4:H22"/>
    </sheetView>
  </sheetViews>
  <sheetFormatPr baseColWidth="10" defaultColWidth="8.83203125" defaultRowHeight="15" x14ac:dyDescent="0.2"/>
  <cols>
    <col min="1" max="1" width="5.5" bestFit="1" customWidth="1"/>
    <col min="2" max="2" width="8.5" bestFit="1" customWidth="1"/>
    <col min="3" max="3" width="12.5" bestFit="1" customWidth="1"/>
    <col min="4" max="4" width="9.83203125" bestFit="1" customWidth="1"/>
    <col min="5" max="5" width="14" bestFit="1" customWidth="1"/>
    <col min="6" max="6" width="10.33203125" bestFit="1" customWidth="1"/>
    <col min="7" max="7" width="17.5" bestFit="1" customWidth="1"/>
    <col min="8" max="8" width="9.33203125" bestFit="1" customWidth="1"/>
    <col min="10" max="10" width="10.33203125" bestFit="1" customWidth="1"/>
  </cols>
  <sheetData>
    <row r="1" spans="1:20" ht="16" thickBot="1" x14ac:dyDescent="0.25">
      <c r="A1" s="180"/>
      <c r="B1" s="142"/>
      <c r="C1" s="142"/>
      <c r="D1" s="142"/>
      <c r="E1" s="142"/>
      <c r="F1" s="142"/>
      <c r="G1" s="513" t="s">
        <v>375</v>
      </c>
      <c r="H1" s="513"/>
      <c r="I1" s="513"/>
      <c r="J1" s="145"/>
      <c r="K1" s="144"/>
      <c r="L1" s="144"/>
      <c r="M1" s="144"/>
      <c r="N1" s="144"/>
      <c r="O1" s="144"/>
      <c r="P1" s="144"/>
      <c r="Q1" s="142"/>
      <c r="R1" s="142"/>
      <c r="S1" s="142"/>
      <c r="T1" s="143"/>
    </row>
    <row r="2" spans="1:20" ht="15" customHeight="1" thickBot="1" x14ac:dyDescent="0.25">
      <c r="A2" s="412" t="s">
        <v>13</v>
      </c>
      <c r="B2" s="413"/>
      <c r="C2" s="413"/>
      <c r="D2" s="413"/>
      <c r="E2" s="413"/>
      <c r="F2" s="413"/>
      <c r="G2" s="413"/>
      <c r="H2" s="413"/>
      <c r="I2" s="413"/>
      <c r="J2" s="413"/>
      <c r="K2" s="413"/>
      <c r="L2" s="413"/>
      <c r="M2" s="413"/>
      <c r="N2" s="413"/>
      <c r="O2" s="413"/>
      <c r="P2" s="413"/>
      <c r="Q2" s="413"/>
      <c r="R2" s="413"/>
      <c r="S2" s="413"/>
      <c r="T2" s="444"/>
    </row>
    <row r="3" spans="1:20" x14ac:dyDescent="0.2">
      <c r="A3" s="538"/>
      <c r="B3" s="539" t="s">
        <v>58</v>
      </c>
      <c r="C3" s="426" t="s">
        <v>376</v>
      </c>
      <c r="D3" s="424"/>
      <c r="E3" s="424"/>
      <c r="F3" s="424"/>
      <c r="G3" s="424"/>
      <c r="H3" s="425"/>
      <c r="I3" s="452" t="s">
        <v>59</v>
      </c>
      <c r="J3" s="426" t="s">
        <v>46</v>
      </c>
      <c r="K3" s="424"/>
      <c r="L3" s="424"/>
      <c r="M3" s="424"/>
      <c r="N3" s="424"/>
      <c r="O3" s="424"/>
      <c r="P3" s="424"/>
      <c r="Q3" s="424"/>
      <c r="R3" s="424"/>
      <c r="S3" s="424"/>
      <c r="T3" s="425"/>
    </row>
    <row r="4" spans="1:20" ht="29" customHeight="1" x14ac:dyDescent="0.2">
      <c r="A4" s="436"/>
      <c r="B4" s="540"/>
      <c r="C4" s="526" t="s">
        <v>429</v>
      </c>
      <c r="D4" s="527"/>
      <c r="E4" s="527" t="s">
        <v>428</v>
      </c>
      <c r="F4" s="527"/>
      <c r="G4" s="527" t="s">
        <v>431</v>
      </c>
      <c r="H4" s="528"/>
      <c r="I4" s="453"/>
      <c r="J4" s="9" t="s">
        <v>47</v>
      </c>
      <c r="T4" s="2"/>
    </row>
    <row r="5" spans="1:20" x14ac:dyDescent="0.2">
      <c r="A5" s="436"/>
      <c r="B5" s="540"/>
      <c r="C5" s="9" t="s">
        <v>425</v>
      </c>
      <c r="D5" s="165"/>
      <c r="E5" s="12" t="s">
        <v>263</v>
      </c>
      <c r="F5" s="165"/>
      <c r="G5" s="12" t="s">
        <v>5</v>
      </c>
      <c r="H5" s="164"/>
      <c r="I5" s="453"/>
      <c r="J5" s="10" t="s">
        <v>48</v>
      </c>
      <c r="K5" s="30"/>
      <c r="L5" s="30"/>
      <c r="M5" s="30"/>
      <c r="N5" s="30"/>
      <c r="O5" s="30"/>
      <c r="P5" s="30"/>
      <c r="Q5" s="30"/>
      <c r="R5" s="30"/>
      <c r="S5" s="30"/>
      <c r="T5" s="31"/>
    </row>
    <row r="6" spans="1:20" x14ac:dyDescent="0.2">
      <c r="A6" s="436"/>
      <c r="B6" s="540"/>
      <c r="C6" s="10" t="s">
        <v>6</v>
      </c>
      <c r="D6" s="30"/>
      <c r="E6" s="13" t="s">
        <v>5</v>
      </c>
      <c r="F6" s="30"/>
      <c r="G6" s="13" t="s">
        <v>6</v>
      </c>
      <c r="H6" s="31"/>
      <c r="I6" s="453"/>
      <c r="J6" s="10" t="s">
        <v>49</v>
      </c>
      <c r="T6" s="2"/>
    </row>
    <row r="7" spans="1:20" ht="16" thickBot="1" x14ac:dyDescent="0.25">
      <c r="A7" s="436"/>
      <c r="B7" s="540"/>
      <c r="C7" s="11" t="s">
        <v>424</v>
      </c>
      <c r="D7" s="4"/>
      <c r="E7" s="14" t="s">
        <v>7</v>
      </c>
      <c r="F7" s="4"/>
      <c r="G7" s="14" t="s">
        <v>7</v>
      </c>
      <c r="H7" s="5"/>
      <c r="I7" s="453"/>
      <c r="J7" s="98" t="s">
        <v>50</v>
      </c>
      <c r="K7" s="99"/>
      <c r="L7" s="99"/>
      <c r="M7" s="99"/>
      <c r="N7" s="99"/>
      <c r="O7" s="99"/>
      <c r="P7" s="99"/>
      <c r="Q7" s="99"/>
      <c r="R7" s="99"/>
      <c r="S7" s="99"/>
      <c r="T7" s="100"/>
    </row>
    <row r="8" spans="1:20" x14ac:dyDescent="0.2">
      <c r="A8" s="436"/>
      <c r="B8" s="540"/>
      <c r="C8" s="426" t="s">
        <v>12</v>
      </c>
      <c r="D8" s="424"/>
      <c r="E8" s="424"/>
      <c r="F8" s="424"/>
      <c r="G8" s="522" t="s">
        <v>2</v>
      </c>
      <c r="H8" s="323"/>
      <c r="I8" s="453"/>
      <c r="J8" s="10" t="s">
        <v>51</v>
      </c>
      <c r="T8" s="2"/>
    </row>
    <row r="9" spans="1:20" x14ac:dyDescent="0.2">
      <c r="A9" s="436"/>
      <c r="B9" s="540"/>
      <c r="C9" s="518" t="s">
        <v>426</v>
      </c>
      <c r="D9" s="519"/>
      <c r="E9" s="519" t="s">
        <v>427</v>
      </c>
      <c r="F9" s="519"/>
      <c r="G9" s="536"/>
      <c r="H9" s="537"/>
      <c r="I9" s="453"/>
      <c r="J9" s="10" t="s">
        <v>49</v>
      </c>
      <c r="K9" s="30"/>
      <c r="L9" s="30"/>
      <c r="M9" s="30"/>
      <c r="N9" s="30"/>
      <c r="O9" s="30"/>
      <c r="P9" s="30"/>
      <c r="Q9" s="30"/>
      <c r="R9" s="30"/>
      <c r="S9" s="30"/>
      <c r="T9" s="31"/>
    </row>
    <row r="10" spans="1:20" x14ac:dyDescent="0.2">
      <c r="A10" s="436"/>
      <c r="B10" s="540"/>
      <c r="C10" s="10" t="s">
        <v>425</v>
      </c>
      <c r="E10" s="13" t="s">
        <v>425</v>
      </c>
      <c r="G10" s="10" t="s">
        <v>18</v>
      </c>
      <c r="H10" s="31"/>
      <c r="I10" s="453"/>
      <c r="J10" s="10" t="s">
        <v>50</v>
      </c>
      <c r="T10" s="2"/>
    </row>
    <row r="11" spans="1:20" x14ac:dyDescent="0.2">
      <c r="A11" s="436"/>
      <c r="B11" s="540"/>
      <c r="C11" s="10" t="s">
        <v>6</v>
      </c>
      <c r="D11" s="30"/>
      <c r="E11" s="13" t="s">
        <v>6</v>
      </c>
      <c r="F11" s="30"/>
      <c r="G11" s="10" t="s">
        <v>354</v>
      </c>
      <c r="H11" s="2"/>
      <c r="I11" s="453"/>
      <c r="J11" s="455" t="s">
        <v>52</v>
      </c>
      <c r="K11" s="456"/>
      <c r="L11" s="456"/>
      <c r="M11" s="456"/>
      <c r="N11" s="456"/>
      <c r="O11" s="456"/>
      <c r="P11" s="456"/>
      <c r="Q11" s="456"/>
      <c r="R11" s="456"/>
      <c r="S11" s="456"/>
      <c r="T11" s="457"/>
    </row>
    <row r="12" spans="1:20" ht="16" thickBot="1" x14ac:dyDescent="0.25">
      <c r="A12" s="436"/>
      <c r="B12" s="540"/>
      <c r="C12" s="11" t="s">
        <v>7</v>
      </c>
      <c r="D12" s="4"/>
      <c r="E12" s="14" t="s">
        <v>7</v>
      </c>
      <c r="F12" s="4"/>
      <c r="G12" s="11" t="s">
        <v>353</v>
      </c>
      <c r="H12" s="33"/>
      <c r="I12" s="453"/>
      <c r="J12" s="9" t="s">
        <v>47</v>
      </c>
      <c r="T12" s="2"/>
    </row>
    <row r="13" spans="1:20" ht="16" thickBot="1" x14ac:dyDescent="0.25">
      <c r="A13" s="436"/>
      <c r="B13" s="540"/>
      <c r="C13" s="520" t="s">
        <v>0</v>
      </c>
      <c r="D13" s="521"/>
      <c r="E13" s="139" t="s">
        <v>267</v>
      </c>
      <c r="F13" s="135"/>
      <c r="G13" s="139" t="s">
        <v>268</v>
      </c>
      <c r="H13" s="134"/>
      <c r="I13" s="453"/>
      <c r="J13" s="10" t="s">
        <v>48</v>
      </c>
      <c r="K13" s="30"/>
      <c r="L13" s="30"/>
      <c r="M13" s="30"/>
      <c r="N13" s="30"/>
      <c r="O13" s="30"/>
      <c r="P13" s="30"/>
      <c r="Q13" s="30"/>
      <c r="R13" s="30"/>
      <c r="S13" s="30"/>
      <c r="T13" s="31"/>
    </row>
    <row r="14" spans="1:20" x14ac:dyDescent="0.2">
      <c r="A14" s="436"/>
      <c r="B14" s="540"/>
      <c r="C14" s="522" t="s">
        <v>262</v>
      </c>
      <c r="D14" s="322"/>
      <c r="E14" s="322"/>
      <c r="F14" s="322"/>
      <c r="G14" s="322"/>
      <c r="H14" s="323"/>
      <c r="I14" s="453"/>
      <c r="J14" s="10" t="s">
        <v>49</v>
      </c>
      <c r="T14" s="2"/>
    </row>
    <row r="15" spans="1:20" x14ac:dyDescent="0.2">
      <c r="A15" s="436"/>
      <c r="B15" s="540"/>
      <c r="C15" s="136" t="s">
        <v>263</v>
      </c>
      <c r="D15" s="137" t="s">
        <v>132</v>
      </c>
      <c r="E15" s="137" t="s">
        <v>264</v>
      </c>
      <c r="F15" s="137" t="s">
        <v>22</v>
      </c>
      <c r="G15" s="137" t="s">
        <v>259</v>
      </c>
      <c r="H15" s="138" t="s">
        <v>97</v>
      </c>
      <c r="I15" s="453"/>
      <c r="J15" s="98" t="s">
        <v>50</v>
      </c>
      <c r="K15" s="99"/>
      <c r="L15" s="99"/>
      <c r="M15" s="99"/>
      <c r="N15" s="99"/>
      <c r="O15" s="99"/>
      <c r="P15" s="99"/>
      <c r="Q15" s="99"/>
      <c r="R15" s="99"/>
      <c r="S15" s="99"/>
      <c r="T15" s="100"/>
    </row>
    <row r="16" spans="1:20" ht="16" thickBot="1" x14ac:dyDescent="0.25">
      <c r="A16" s="436"/>
      <c r="B16" s="540"/>
      <c r="C16" s="1"/>
      <c r="D16" s="30"/>
      <c r="F16" s="30"/>
      <c r="H16" s="31"/>
      <c r="I16" s="453"/>
      <c r="J16" s="10" t="s">
        <v>51</v>
      </c>
      <c r="T16" s="2"/>
    </row>
    <row r="17" spans="1:20" x14ac:dyDescent="0.2">
      <c r="A17" s="436"/>
      <c r="B17" s="540"/>
      <c r="C17" s="522" t="s">
        <v>265</v>
      </c>
      <c r="D17" s="322"/>
      <c r="E17" s="322"/>
      <c r="F17" s="322"/>
      <c r="G17" s="322"/>
      <c r="H17" s="323"/>
      <c r="I17" s="453"/>
      <c r="J17" s="10" t="s">
        <v>49</v>
      </c>
      <c r="K17" s="30"/>
      <c r="L17" s="30"/>
      <c r="M17" s="30"/>
      <c r="N17" s="30"/>
      <c r="O17" s="30"/>
      <c r="P17" s="30"/>
      <c r="Q17" s="30"/>
      <c r="R17" s="30"/>
      <c r="S17" s="30"/>
      <c r="T17" s="31"/>
    </row>
    <row r="18" spans="1:20" x14ac:dyDescent="0.2">
      <c r="A18" s="436"/>
      <c r="B18" s="540"/>
      <c r="C18" s="136" t="s">
        <v>263</v>
      </c>
      <c r="D18" s="137" t="s">
        <v>132</v>
      </c>
      <c r="E18" s="137" t="s">
        <v>264</v>
      </c>
      <c r="F18" s="137" t="s">
        <v>22</v>
      </c>
      <c r="G18" s="137" t="s">
        <v>259</v>
      </c>
      <c r="H18" s="138" t="s">
        <v>97</v>
      </c>
      <c r="I18" s="453"/>
      <c r="J18" s="10" t="s">
        <v>50</v>
      </c>
      <c r="T18" s="2"/>
    </row>
    <row r="19" spans="1:20" ht="16" thickBot="1" x14ac:dyDescent="0.25">
      <c r="A19" s="436"/>
      <c r="B19" s="540"/>
      <c r="C19" s="160"/>
      <c r="D19" s="30"/>
      <c r="F19" s="30"/>
      <c r="H19" s="31"/>
      <c r="I19" s="453"/>
      <c r="J19" s="455" t="s">
        <v>53</v>
      </c>
      <c r="K19" s="456"/>
      <c r="L19" s="456"/>
      <c r="M19" s="456"/>
      <c r="N19" s="456"/>
      <c r="O19" s="456"/>
      <c r="P19" s="456"/>
      <c r="Q19" s="456"/>
      <c r="R19" s="456"/>
      <c r="S19" s="456"/>
      <c r="T19" s="457"/>
    </row>
    <row r="20" spans="1:20" x14ac:dyDescent="0.2">
      <c r="A20" s="436"/>
      <c r="B20" s="540"/>
      <c r="C20" s="426" t="s">
        <v>1</v>
      </c>
      <c r="D20" s="424"/>
      <c r="E20" s="424"/>
      <c r="F20" s="424"/>
      <c r="G20" s="424"/>
      <c r="H20" s="425"/>
      <c r="I20" s="453"/>
      <c r="J20" s="9" t="s">
        <v>47</v>
      </c>
      <c r="T20" s="2"/>
    </row>
    <row r="21" spans="1:20" x14ac:dyDescent="0.2">
      <c r="A21" s="436"/>
      <c r="B21" s="540"/>
      <c r="C21" s="136" t="s">
        <v>266</v>
      </c>
      <c r="D21" s="137" t="s">
        <v>45</v>
      </c>
      <c r="E21" s="137" t="s">
        <v>15</v>
      </c>
      <c r="F21" s="137" t="s">
        <v>14</v>
      </c>
      <c r="G21" s="137" t="s">
        <v>42</v>
      </c>
      <c r="H21" s="138" t="s">
        <v>44</v>
      </c>
      <c r="I21" s="453"/>
      <c r="J21" s="10" t="s">
        <v>48</v>
      </c>
      <c r="K21" s="30"/>
      <c r="L21" s="30"/>
      <c r="M21" s="30"/>
      <c r="N21" s="30"/>
      <c r="O21" s="30"/>
      <c r="P21" s="30"/>
      <c r="Q21" s="30"/>
      <c r="R21" s="30"/>
      <c r="S21" s="30"/>
      <c r="T21" s="31"/>
    </row>
    <row r="22" spans="1:20" ht="16" thickBot="1" x14ac:dyDescent="0.25">
      <c r="A22" s="436"/>
      <c r="B22" s="541"/>
      <c r="C22" s="3"/>
      <c r="D22" s="32"/>
      <c r="E22" s="4"/>
      <c r="F22" s="32"/>
      <c r="G22" s="4"/>
      <c r="H22" s="33"/>
      <c r="I22" s="453"/>
      <c r="J22" s="10" t="s">
        <v>49</v>
      </c>
      <c r="T22" s="2"/>
    </row>
    <row r="23" spans="1:20" x14ac:dyDescent="0.2">
      <c r="A23" s="436"/>
      <c r="B23" s="426" t="s">
        <v>430</v>
      </c>
      <c r="C23" s="424"/>
      <c r="D23" s="424"/>
      <c r="E23" s="424"/>
      <c r="F23" s="424"/>
      <c r="G23" s="424"/>
      <c r="H23" s="425"/>
      <c r="I23" s="453"/>
      <c r="J23" s="98" t="s">
        <v>50</v>
      </c>
      <c r="K23" s="99"/>
      <c r="L23" s="99"/>
      <c r="M23" s="99"/>
      <c r="N23" s="99"/>
      <c r="O23" s="99"/>
      <c r="P23" s="99"/>
      <c r="Q23" s="99"/>
      <c r="R23" s="99"/>
      <c r="S23" s="99"/>
      <c r="T23" s="100"/>
    </row>
    <row r="24" spans="1:20" x14ac:dyDescent="0.2">
      <c r="A24" s="436"/>
      <c r="B24" s="136" t="s">
        <v>24</v>
      </c>
      <c r="C24" s="137" t="s">
        <v>25</v>
      </c>
      <c r="D24" s="137" t="s">
        <v>28</v>
      </c>
      <c r="E24" s="137" t="s">
        <v>26</v>
      </c>
      <c r="F24" s="137" t="s">
        <v>30</v>
      </c>
      <c r="G24" s="137" t="s">
        <v>27</v>
      </c>
      <c r="H24" s="138" t="s">
        <v>29</v>
      </c>
      <c r="I24" s="453"/>
      <c r="J24" s="10" t="s">
        <v>51</v>
      </c>
      <c r="T24" s="2"/>
    </row>
    <row r="25" spans="1:20" x14ac:dyDescent="0.2">
      <c r="A25" s="436"/>
      <c r="B25" s="9" t="s">
        <v>31</v>
      </c>
      <c r="D25" s="34"/>
      <c r="F25" s="34"/>
      <c r="H25" s="2"/>
      <c r="I25" s="453"/>
      <c r="J25" s="10" t="s">
        <v>49</v>
      </c>
      <c r="K25" s="30"/>
      <c r="L25" s="30"/>
      <c r="M25" s="30"/>
      <c r="N25" s="30"/>
      <c r="O25" s="30"/>
      <c r="P25" s="30"/>
      <c r="Q25" s="30"/>
      <c r="R25" s="30"/>
      <c r="S25" s="30"/>
      <c r="T25" s="31"/>
    </row>
    <row r="26" spans="1:20" x14ac:dyDescent="0.2">
      <c r="A26" s="436"/>
      <c r="B26" s="10" t="s">
        <v>32</v>
      </c>
      <c r="C26" s="30"/>
      <c r="D26" s="35"/>
      <c r="E26" s="30"/>
      <c r="F26" s="35"/>
      <c r="G26" s="30"/>
      <c r="H26" s="31"/>
      <c r="I26" s="453"/>
      <c r="J26" s="10" t="s">
        <v>50</v>
      </c>
      <c r="T26" s="2"/>
    </row>
    <row r="27" spans="1:20" x14ac:dyDescent="0.2">
      <c r="A27" s="436"/>
      <c r="B27" s="10" t="s">
        <v>33</v>
      </c>
      <c r="D27" s="36"/>
      <c r="F27" s="36"/>
      <c r="H27" s="2"/>
      <c r="I27" s="453"/>
      <c r="J27" s="455" t="s">
        <v>54</v>
      </c>
      <c r="K27" s="456"/>
      <c r="L27" s="456"/>
      <c r="M27" s="456"/>
      <c r="N27" s="456"/>
      <c r="O27" s="456"/>
      <c r="P27" s="456"/>
      <c r="Q27" s="456"/>
      <c r="R27" s="456"/>
      <c r="S27" s="456"/>
      <c r="T27" s="457"/>
    </row>
    <row r="28" spans="1:20" x14ac:dyDescent="0.2">
      <c r="A28" s="436"/>
      <c r="B28" s="10" t="s">
        <v>34</v>
      </c>
      <c r="C28" s="30"/>
      <c r="D28" s="35"/>
      <c r="E28" s="30"/>
      <c r="F28" s="35"/>
      <c r="G28" s="30"/>
      <c r="H28" s="31"/>
      <c r="I28" s="453"/>
      <c r="J28" s="9" t="s">
        <v>47</v>
      </c>
      <c r="T28" s="2"/>
    </row>
    <row r="29" spans="1:20" x14ac:dyDescent="0.2">
      <c r="A29" s="436"/>
      <c r="B29" s="10" t="s">
        <v>35</v>
      </c>
      <c r="D29" s="36"/>
      <c r="F29" s="36"/>
      <c r="H29" s="2"/>
      <c r="I29" s="453"/>
      <c r="J29" s="10" t="s">
        <v>48</v>
      </c>
      <c r="K29" s="30"/>
      <c r="L29" s="30"/>
      <c r="M29" s="30"/>
      <c r="N29" s="30"/>
      <c r="O29" s="30"/>
      <c r="P29" s="30"/>
      <c r="Q29" s="30"/>
      <c r="R29" s="30"/>
      <c r="S29" s="30"/>
      <c r="T29" s="31"/>
    </row>
    <row r="30" spans="1:20" x14ac:dyDescent="0.2">
      <c r="A30" s="436"/>
      <c r="B30" s="10" t="s">
        <v>36</v>
      </c>
      <c r="C30" s="30"/>
      <c r="D30" s="35"/>
      <c r="E30" s="30"/>
      <c r="F30" s="35"/>
      <c r="G30" s="30"/>
      <c r="H30" s="31"/>
      <c r="I30" s="453"/>
      <c r="J30" s="10" t="s">
        <v>49</v>
      </c>
      <c r="T30" s="2"/>
    </row>
    <row r="31" spans="1:20" x14ac:dyDescent="0.2">
      <c r="A31" s="436"/>
      <c r="B31" s="10" t="s">
        <v>37</v>
      </c>
      <c r="D31" s="36"/>
      <c r="F31" s="36"/>
      <c r="H31" s="2"/>
      <c r="I31" s="453"/>
      <c r="J31" s="98" t="s">
        <v>50</v>
      </c>
      <c r="K31" s="99"/>
      <c r="L31" s="99"/>
      <c r="M31" s="99"/>
      <c r="N31" s="99"/>
      <c r="O31" s="99"/>
      <c r="P31" s="99"/>
      <c r="Q31" s="99"/>
      <c r="R31" s="99"/>
      <c r="S31" s="99"/>
      <c r="T31" s="100"/>
    </row>
    <row r="32" spans="1:20" x14ac:dyDescent="0.2">
      <c r="A32" s="436"/>
      <c r="B32" s="10" t="s">
        <v>38</v>
      </c>
      <c r="C32" s="30"/>
      <c r="D32" s="35"/>
      <c r="E32" s="30"/>
      <c r="F32" s="35"/>
      <c r="G32" s="30"/>
      <c r="H32" s="31"/>
      <c r="I32" s="453"/>
      <c r="J32" s="10" t="s">
        <v>51</v>
      </c>
      <c r="T32" s="2"/>
    </row>
    <row r="33" spans="1:20" x14ac:dyDescent="0.2">
      <c r="A33" s="436"/>
      <c r="B33" s="10" t="s">
        <v>39</v>
      </c>
      <c r="D33" s="36"/>
      <c r="F33" s="36"/>
      <c r="H33" s="2"/>
      <c r="I33" s="453"/>
      <c r="J33" s="10" t="s">
        <v>49</v>
      </c>
      <c r="K33" s="30"/>
      <c r="L33" s="30"/>
      <c r="M33" s="30"/>
      <c r="N33" s="30"/>
      <c r="O33" s="30"/>
      <c r="P33" s="30"/>
      <c r="Q33" s="30"/>
      <c r="R33" s="30"/>
      <c r="S33" s="30"/>
      <c r="T33" s="31"/>
    </row>
    <row r="34" spans="1:20" ht="16" thickBot="1" x14ac:dyDescent="0.25">
      <c r="A34" s="436"/>
      <c r="B34" s="11" t="s">
        <v>40</v>
      </c>
      <c r="C34" s="32"/>
      <c r="D34" s="37"/>
      <c r="E34" s="32"/>
      <c r="F34" s="37"/>
      <c r="G34" s="32"/>
      <c r="H34" s="33"/>
      <c r="I34" s="453"/>
      <c r="J34" s="10" t="s">
        <v>50</v>
      </c>
      <c r="T34" s="2"/>
    </row>
    <row r="35" spans="1:20" x14ac:dyDescent="0.2">
      <c r="A35" s="436"/>
      <c r="B35" s="183"/>
      <c r="C35" s="183"/>
      <c r="D35" s="183"/>
      <c r="E35" s="183"/>
      <c r="F35" s="183"/>
      <c r="G35" s="183"/>
      <c r="H35" s="39"/>
      <c r="I35" s="453"/>
      <c r="J35" s="455" t="s">
        <v>55</v>
      </c>
      <c r="K35" s="456"/>
      <c r="L35" s="456"/>
      <c r="M35" s="456"/>
      <c r="N35" s="456"/>
      <c r="O35" s="456"/>
      <c r="P35" s="456"/>
      <c r="Q35" s="456"/>
      <c r="R35" s="456"/>
      <c r="S35" s="456"/>
      <c r="T35" s="457"/>
    </row>
    <row r="36" spans="1:20" x14ac:dyDescent="0.2">
      <c r="A36" s="436"/>
      <c r="B36" s="183"/>
      <c r="C36" s="183"/>
      <c r="D36" s="183"/>
      <c r="E36" s="183"/>
      <c r="F36" s="183"/>
      <c r="G36" s="183"/>
      <c r="H36" s="39"/>
      <c r="I36" s="453"/>
      <c r="J36" s="9" t="s">
        <v>47</v>
      </c>
      <c r="T36" s="2"/>
    </row>
    <row r="37" spans="1:20" x14ac:dyDescent="0.2">
      <c r="A37" s="436"/>
      <c r="B37" s="183"/>
      <c r="C37" s="183"/>
      <c r="D37" s="183"/>
      <c r="E37" s="183"/>
      <c r="F37" s="183"/>
      <c r="G37" s="183"/>
      <c r="H37" s="39"/>
      <c r="I37" s="453"/>
      <c r="J37" s="10" t="s">
        <v>48</v>
      </c>
      <c r="K37" s="30"/>
      <c r="L37" s="30"/>
      <c r="M37" s="30"/>
      <c r="N37" s="30"/>
      <c r="O37" s="30"/>
      <c r="P37" s="30"/>
      <c r="Q37" s="30"/>
      <c r="R37" s="30"/>
      <c r="S37" s="30"/>
      <c r="T37" s="31"/>
    </row>
    <row r="38" spans="1:20" ht="15" customHeight="1" thickBot="1" x14ac:dyDescent="0.25">
      <c r="A38" s="436"/>
      <c r="B38" s="54"/>
      <c r="C38" s="54"/>
      <c r="D38" s="54"/>
      <c r="E38" s="54"/>
      <c r="F38" s="54"/>
      <c r="G38" s="54"/>
      <c r="H38" s="55"/>
      <c r="I38" s="453"/>
      <c r="J38" s="10" t="s">
        <v>49</v>
      </c>
      <c r="T38" s="2"/>
    </row>
    <row r="39" spans="1:20" x14ac:dyDescent="0.2">
      <c r="A39" s="436"/>
      <c r="B39" s="539" t="s">
        <v>349</v>
      </c>
      <c r="C39" s="426" t="s">
        <v>376</v>
      </c>
      <c r="D39" s="424"/>
      <c r="E39" s="424"/>
      <c r="F39" s="424"/>
      <c r="G39" s="424"/>
      <c r="H39" s="425"/>
      <c r="I39" s="453"/>
      <c r="J39" s="98" t="s">
        <v>50</v>
      </c>
      <c r="K39" s="99"/>
      <c r="L39" s="99"/>
      <c r="M39" s="99"/>
      <c r="N39" s="99"/>
      <c r="O39" s="99"/>
      <c r="P39" s="99"/>
      <c r="Q39" s="99"/>
      <c r="R39" s="99"/>
      <c r="S39" s="99"/>
      <c r="T39" s="100"/>
    </row>
    <row r="40" spans="1:20" ht="29" customHeight="1" x14ac:dyDescent="0.2">
      <c r="A40" s="436"/>
      <c r="B40" s="540"/>
      <c r="C40" s="526" t="s">
        <v>429</v>
      </c>
      <c r="D40" s="527"/>
      <c r="E40" s="527" t="s">
        <v>428</v>
      </c>
      <c r="F40" s="527"/>
      <c r="G40" s="527" t="s">
        <v>431</v>
      </c>
      <c r="H40" s="528"/>
      <c r="I40" s="453"/>
      <c r="J40" s="10" t="s">
        <v>51</v>
      </c>
      <c r="T40" s="2"/>
    </row>
    <row r="41" spans="1:20" x14ac:dyDescent="0.2">
      <c r="A41" s="436"/>
      <c r="B41" s="540"/>
      <c r="C41" s="9" t="s">
        <v>425</v>
      </c>
      <c r="D41" s="165"/>
      <c r="E41" s="12" t="s">
        <v>263</v>
      </c>
      <c r="F41" s="165"/>
      <c r="G41" s="12" t="s">
        <v>5</v>
      </c>
      <c r="H41" s="164"/>
      <c r="I41" s="453"/>
      <c r="J41" s="10" t="s">
        <v>49</v>
      </c>
      <c r="K41" s="30"/>
      <c r="L41" s="30"/>
      <c r="M41" s="30"/>
      <c r="N41" s="30"/>
      <c r="O41" s="30"/>
      <c r="P41" s="30"/>
      <c r="Q41" s="30"/>
      <c r="R41" s="30"/>
      <c r="S41" s="30"/>
      <c r="T41" s="31"/>
    </row>
    <row r="42" spans="1:20" ht="16" thickBot="1" x14ac:dyDescent="0.25">
      <c r="A42" s="436"/>
      <c r="B42" s="540"/>
      <c r="C42" s="10" t="s">
        <v>6</v>
      </c>
      <c r="D42" s="30"/>
      <c r="E42" s="13" t="s">
        <v>5</v>
      </c>
      <c r="F42" s="30"/>
      <c r="G42" s="13" t="s">
        <v>6</v>
      </c>
      <c r="H42" s="31"/>
      <c r="I42" s="454"/>
      <c r="J42" s="11" t="s">
        <v>50</v>
      </c>
      <c r="K42" s="4"/>
      <c r="L42" s="4"/>
      <c r="M42" s="4"/>
      <c r="N42" s="4"/>
      <c r="O42" s="4"/>
      <c r="P42" s="4"/>
      <c r="Q42" s="4"/>
      <c r="R42" s="4"/>
      <c r="S42" s="4"/>
      <c r="T42" s="5"/>
    </row>
    <row r="43" spans="1:20" ht="16" thickBot="1" x14ac:dyDescent="0.25">
      <c r="A43" s="436"/>
      <c r="B43" s="540"/>
      <c r="C43" s="11" t="s">
        <v>424</v>
      </c>
      <c r="D43" s="4"/>
      <c r="E43" s="14" t="s">
        <v>7</v>
      </c>
      <c r="F43" s="4"/>
      <c r="G43" s="14" t="s">
        <v>7</v>
      </c>
      <c r="H43" s="5"/>
      <c r="I43" s="452" t="s">
        <v>60</v>
      </c>
      <c r="J43" s="426" t="s">
        <v>56</v>
      </c>
      <c r="K43" s="424"/>
      <c r="L43" s="424"/>
      <c r="M43" s="424"/>
      <c r="N43" s="424"/>
      <c r="O43" s="424"/>
      <c r="P43" s="424"/>
      <c r="Q43" s="424"/>
      <c r="R43" s="424"/>
      <c r="S43" s="424"/>
      <c r="T43" s="425"/>
    </row>
    <row r="44" spans="1:20" x14ac:dyDescent="0.2">
      <c r="A44" s="436"/>
      <c r="B44" s="540"/>
      <c r="C44" s="426" t="s">
        <v>12</v>
      </c>
      <c r="D44" s="424"/>
      <c r="E44" s="424"/>
      <c r="F44" s="424"/>
      <c r="G44" s="522" t="s">
        <v>2</v>
      </c>
      <c r="H44" s="323"/>
      <c r="I44" s="453"/>
      <c r="J44" s="9" t="s">
        <v>47</v>
      </c>
      <c r="T44" s="2"/>
    </row>
    <row r="45" spans="1:20" x14ac:dyDescent="0.2">
      <c r="A45" s="436"/>
      <c r="B45" s="540"/>
      <c r="C45" s="518" t="s">
        <v>426</v>
      </c>
      <c r="D45" s="519"/>
      <c r="E45" s="519" t="s">
        <v>427</v>
      </c>
      <c r="F45" s="519"/>
      <c r="G45" s="536"/>
      <c r="H45" s="537"/>
      <c r="I45" s="453"/>
      <c r="J45" s="10" t="s">
        <v>48</v>
      </c>
      <c r="K45" s="30"/>
      <c r="L45" s="30"/>
      <c r="M45" s="30"/>
      <c r="N45" s="30"/>
      <c r="O45" s="30"/>
      <c r="P45" s="30"/>
      <c r="Q45" s="30"/>
      <c r="R45" s="30"/>
      <c r="S45" s="30"/>
      <c r="T45" s="31"/>
    </row>
    <row r="46" spans="1:20" x14ac:dyDescent="0.2">
      <c r="A46" s="436"/>
      <c r="B46" s="540"/>
      <c r="C46" s="10" t="s">
        <v>425</v>
      </c>
      <c r="E46" s="13" t="s">
        <v>425</v>
      </c>
      <c r="G46" s="10" t="s">
        <v>18</v>
      </c>
      <c r="H46" s="31"/>
      <c r="I46" s="453"/>
      <c r="J46" s="10" t="s">
        <v>49</v>
      </c>
      <c r="T46" s="2"/>
    </row>
    <row r="47" spans="1:20" x14ac:dyDescent="0.2">
      <c r="A47" s="436"/>
      <c r="B47" s="540"/>
      <c r="C47" s="10" t="s">
        <v>6</v>
      </c>
      <c r="D47" s="30"/>
      <c r="E47" s="13" t="s">
        <v>6</v>
      </c>
      <c r="F47" s="30"/>
      <c r="G47" s="10" t="s">
        <v>354</v>
      </c>
      <c r="H47" s="2"/>
      <c r="I47" s="453"/>
      <c r="J47" s="98" t="s">
        <v>50</v>
      </c>
      <c r="K47" s="99"/>
      <c r="L47" s="99"/>
      <c r="M47" s="99"/>
      <c r="N47" s="99"/>
      <c r="O47" s="99"/>
      <c r="P47" s="99"/>
      <c r="Q47" s="99"/>
      <c r="R47" s="99"/>
      <c r="S47" s="99"/>
      <c r="T47" s="100"/>
    </row>
    <row r="48" spans="1:20" ht="16" thickBot="1" x14ac:dyDescent="0.25">
      <c r="A48" s="436"/>
      <c r="B48" s="540"/>
      <c r="C48" s="11" t="s">
        <v>7</v>
      </c>
      <c r="D48" s="4"/>
      <c r="E48" s="14" t="s">
        <v>7</v>
      </c>
      <c r="F48" s="4"/>
      <c r="G48" s="11" t="s">
        <v>353</v>
      </c>
      <c r="H48" s="33"/>
      <c r="I48" s="453"/>
      <c r="J48" s="10" t="s">
        <v>51</v>
      </c>
      <c r="T48" s="2"/>
    </row>
    <row r="49" spans="1:20" ht="16" thickBot="1" x14ac:dyDescent="0.25">
      <c r="A49" s="436"/>
      <c r="B49" s="540"/>
      <c r="C49" s="520" t="s">
        <v>0</v>
      </c>
      <c r="D49" s="521"/>
      <c r="E49" s="139" t="s">
        <v>267</v>
      </c>
      <c r="F49" s="135"/>
      <c r="G49" s="139" t="s">
        <v>268</v>
      </c>
      <c r="H49" s="134"/>
      <c r="I49" s="453"/>
      <c r="J49" s="10" t="s">
        <v>49</v>
      </c>
      <c r="K49" s="30"/>
      <c r="L49" s="30"/>
      <c r="M49" s="30"/>
      <c r="N49" s="30"/>
      <c r="O49" s="30"/>
      <c r="P49" s="30"/>
      <c r="Q49" s="30"/>
      <c r="R49" s="30"/>
      <c r="S49" s="30"/>
      <c r="T49" s="31"/>
    </row>
    <row r="50" spans="1:20" x14ac:dyDescent="0.2">
      <c r="A50" s="436"/>
      <c r="B50" s="540"/>
      <c r="C50" s="522" t="s">
        <v>262</v>
      </c>
      <c r="D50" s="322"/>
      <c r="E50" s="322"/>
      <c r="F50" s="322"/>
      <c r="G50" s="322"/>
      <c r="H50" s="323"/>
      <c r="I50" s="453"/>
      <c r="J50" s="10" t="s">
        <v>50</v>
      </c>
      <c r="T50" s="2"/>
    </row>
    <row r="51" spans="1:20" x14ac:dyDescent="0.2">
      <c r="A51" s="436"/>
      <c r="B51" s="540"/>
      <c r="C51" s="136" t="s">
        <v>263</v>
      </c>
      <c r="D51" s="137" t="s">
        <v>132</v>
      </c>
      <c r="E51" s="137" t="s">
        <v>264</v>
      </c>
      <c r="F51" s="137" t="s">
        <v>22</v>
      </c>
      <c r="G51" s="137" t="s">
        <v>259</v>
      </c>
      <c r="H51" s="138" t="s">
        <v>97</v>
      </c>
      <c r="I51" s="453"/>
      <c r="J51" s="455" t="s">
        <v>57</v>
      </c>
      <c r="K51" s="456"/>
      <c r="L51" s="456"/>
      <c r="M51" s="456"/>
      <c r="N51" s="456"/>
      <c r="O51" s="456"/>
      <c r="P51" s="456"/>
      <c r="Q51" s="456"/>
      <c r="R51" s="456"/>
      <c r="S51" s="456"/>
      <c r="T51" s="457"/>
    </row>
    <row r="52" spans="1:20" ht="15" customHeight="1" thickBot="1" x14ac:dyDescent="0.25">
      <c r="A52" s="436"/>
      <c r="B52" s="540"/>
      <c r="C52" s="1"/>
      <c r="D52" s="30"/>
      <c r="F52" s="30"/>
      <c r="H52" s="31"/>
      <c r="I52" s="453"/>
      <c r="J52" s="9" t="s">
        <v>47</v>
      </c>
      <c r="T52" s="2"/>
    </row>
    <row r="53" spans="1:20" x14ac:dyDescent="0.2">
      <c r="A53" s="436"/>
      <c r="B53" s="540"/>
      <c r="C53" s="522" t="s">
        <v>265</v>
      </c>
      <c r="D53" s="322"/>
      <c r="E53" s="322"/>
      <c r="F53" s="322"/>
      <c r="G53" s="322"/>
      <c r="H53" s="323"/>
      <c r="I53" s="453"/>
      <c r="J53" s="10" t="s">
        <v>48</v>
      </c>
      <c r="K53" s="30"/>
      <c r="L53" s="30"/>
      <c r="M53" s="30"/>
      <c r="N53" s="30"/>
      <c r="O53" s="30"/>
      <c r="P53" s="30"/>
      <c r="Q53" s="30"/>
      <c r="R53" s="30"/>
      <c r="S53" s="30"/>
      <c r="T53" s="31"/>
    </row>
    <row r="54" spans="1:20" x14ac:dyDescent="0.2">
      <c r="A54" s="436"/>
      <c r="B54" s="540"/>
      <c r="C54" s="136" t="s">
        <v>263</v>
      </c>
      <c r="D54" s="137" t="s">
        <v>132</v>
      </c>
      <c r="E54" s="137" t="s">
        <v>264</v>
      </c>
      <c r="F54" s="137" t="s">
        <v>22</v>
      </c>
      <c r="G54" s="137" t="s">
        <v>259</v>
      </c>
      <c r="H54" s="138" t="s">
        <v>97</v>
      </c>
      <c r="I54" s="453"/>
      <c r="J54" s="10" t="s">
        <v>49</v>
      </c>
      <c r="T54" s="2"/>
    </row>
    <row r="55" spans="1:20" ht="16" thickBot="1" x14ac:dyDescent="0.25">
      <c r="A55" s="436"/>
      <c r="B55" s="540"/>
      <c r="C55" s="160"/>
      <c r="D55" s="30"/>
      <c r="F55" s="30"/>
      <c r="H55" s="31"/>
      <c r="I55" s="453"/>
      <c r="J55" s="98" t="s">
        <v>50</v>
      </c>
      <c r="K55" s="99"/>
      <c r="L55" s="99"/>
      <c r="M55" s="99"/>
      <c r="N55" s="99"/>
      <c r="O55" s="99"/>
      <c r="P55" s="99"/>
      <c r="Q55" s="99"/>
      <c r="R55" s="99"/>
      <c r="S55" s="99"/>
      <c r="T55" s="100"/>
    </row>
    <row r="56" spans="1:20" x14ac:dyDescent="0.2">
      <c r="A56" s="436"/>
      <c r="B56" s="540"/>
      <c r="C56" s="426" t="s">
        <v>1</v>
      </c>
      <c r="D56" s="424"/>
      <c r="E56" s="424"/>
      <c r="F56" s="424"/>
      <c r="G56" s="424"/>
      <c r="H56" s="425"/>
      <c r="I56" s="453"/>
      <c r="J56" s="10" t="s">
        <v>51</v>
      </c>
      <c r="T56" s="2"/>
    </row>
    <row r="57" spans="1:20" x14ac:dyDescent="0.2">
      <c r="A57" s="436"/>
      <c r="B57" s="540"/>
      <c r="C57" s="136" t="s">
        <v>266</v>
      </c>
      <c r="D57" s="137" t="s">
        <v>45</v>
      </c>
      <c r="E57" s="137" t="s">
        <v>15</v>
      </c>
      <c r="F57" s="137" t="s">
        <v>14</v>
      </c>
      <c r="G57" s="137" t="s">
        <v>42</v>
      </c>
      <c r="H57" s="138" t="s">
        <v>44</v>
      </c>
      <c r="I57" s="453"/>
      <c r="J57" s="10" t="s">
        <v>49</v>
      </c>
      <c r="K57" s="30"/>
      <c r="L57" s="30"/>
      <c r="M57" s="30"/>
      <c r="N57" s="30"/>
      <c r="O57" s="30"/>
      <c r="P57" s="30"/>
      <c r="Q57" s="30"/>
      <c r="R57" s="30"/>
      <c r="S57" s="30"/>
      <c r="T57" s="31"/>
    </row>
    <row r="58" spans="1:20" ht="16" thickBot="1" x14ac:dyDescent="0.25">
      <c r="A58" s="436"/>
      <c r="B58" s="541"/>
      <c r="C58" s="3"/>
      <c r="D58" s="32"/>
      <c r="E58" s="4"/>
      <c r="F58" s="32"/>
      <c r="G58" s="4"/>
      <c r="H58" s="33"/>
      <c r="I58" s="453"/>
      <c r="J58" s="10" t="s">
        <v>50</v>
      </c>
      <c r="T58" s="2"/>
    </row>
    <row r="59" spans="1:20" x14ac:dyDescent="0.2">
      <c r="A59" s="436"/>
      <c r="B59" s="426" t="s">
        <v>430</v>
      </c>
      <c r="C59" s="424"/>
      <c r="D59" s="424"/>
      <c r="E59" s="424"/>
      <c r="F59" s="424"/>
      <c r="G59" s="424"/>
      <c r="H59" s="425"/>
      <c r="I59" s="453"/>
      <c r="J59" s="455" t="s">
        <v>54</v>
      </c>
      <c r="K59" s="456"/>
      <c r="L59" s="456"/>
      <c r="M59" s="456"/>
      <c r="N59" s="456"/>
      <c r="O59" s="456"/>
      <c r="P59" s="456"/>
      <c r="Q59" s="456"/>
      <c r="R59" s="456"/>
      <c r="S59" s="456"/>
      <c r="T59" s="457"/>
    </row>
    <row r="60" spans="1:20" x14ac:dyDescent="0.2">
      <c r="A60" s="436"/>
      <c r="B60" s="136" t="s">
        <v>24</v>
      </c>
      <c r="C60" s="137" t="s">
        <v>25</v>
      </c>
      <c r="D60" s="137" t="s">
        <v>28</v>
      </c>
      <c r="E60" s="137" t="s">
        <v>26</v>
      </c>
      <c r="F60" s="137" t="s">
        <v>30</v>
      </c>
      <c r="G60" s="137" t="s">
        <v>27</v>
      </c>
      <c r="H60" s="138" t="s">
        <v>29</v>
      </c>
      <c r="I60" s="453"/>
      <c r="J60" s="9" t="s">
        <v>47</v>
      </c>
      <c r="T60" s="2"/>
    </row>
    <row r="61" spans="1:20" x14ac:dyDescent="0.2">
      <c r="A61" s="436"/>
      <c r="B61" s="9" t="s">
        <v>31</v>
      </c>
      <c r="D61" s="34"/>
      <c r="F61" s="34"/>
      <c r="H61" s="2"/>
      <c r="I61" s="453"/>
      <c r="J61" s="10" t="s">
        <v>48</v>
      </c>
      <c r="K61" s="30"/>
      <c r="L61" s="30"/>
      <c r="M61" s="30"/>
      <c r="N61" s="30"/>
      <c r="O61" s="30"/>
      <c r="P61" s="30"/>
      <c r="Q61" s="30"/>
      <c r="R61" s="30"/>
      <c r="S61" s="30"/>
      <c r="T61" s="31"/>
    </row>
    <row r="62" spans="1:20" x14ac:dyDescent="0.2">
      <c r="A62" s="436"/>
      <c r="B62" s="10" t="s">
        <v>32</v>
      </c>
      <c r="C62" s="30"/>
      <c r="D62" s="35"/>
      <c r="E62" s="30"/>
      <c r="F62" s="35"/>
      <c r="G62" s="30"/>
      <c r="H62" s="31"/>
      <c r="I62" s="453"/>
      <c r="J62" s="10" t="s">
        <v>49</v>
      </c>
      <c r="T62" s="2"/>
    </row>
    <row r="63" spans="1:20" x14ac:dyDescent="0.2">
      <c r="A63" s="436"/>
      <c r="B63" s="10" t="s">
        <v>33</v>
      </c>
      <c r="D63" s="36"/>
      <c r="F63" s="36"/>
      <c r="H63" s="2"/>
      <c r="I63" s="453"/>
      <c r="J63" s="98" t="s">
        <v>50</v>
      </c>
      <c r="K63" s="99"/>
      <c r="L63" s="99"/>
      <c r="M63" s="99"/>
      <c r="N63" s="99"/>
      <c r="O63" s="99"/>
      <c r="P63" s="99"/>
      <c r="Q63" s="99"/>
      <c r="R63" s="99"/>
      <c r="S63" s="99"/>
      <c r="T63" s="100"/>
    </row>
    <row r="64" spans="1:20" x14ac:dyDescent="0.2">
      <c r="A64" s="436"/>
      <c r="B64" s="10" t="s">
        <v>34</v>
      </c>
      <c r="C64" s="30"/>
      <c r="D64" s="35"/>
      <c r="E64" s="30"/>
      <c r="F64" s="35"/>
      <c r="G64" s="30"/>
      <c r="H64" s="31"/>
      <c r="I64" s="453"/>
      <c r="J64" s="10" t="s">
        <v>51</v>
      </c>
      <c r="T64" s="2"/>
    </row>
    <row r="65" spans="1:20" x14ac:dyDescent="0.2">
      <c r="A65" s="436"/>
      <c r="B65" s="10" t="s">
        <v>35</v>
      </c>
      <c r="D65" s="36"/>
      <c r="F65" s="36"/>
      <c r="H65" s="2"/>
      <c r="I65" s="453"/>
      <c r="J65" s="10" t="s">
        <v>49</v>
      </c>
      <c r="K65" s="30"/>
      <c r="L65" s="30"/>
      <c r="M65" s="30"/>
      <c r="N65" s="30"/>
      <c r="O65" s="30"/>
      <c r="P65" s="30"/>
      <c r="Q65" s="30"/>
      <c r="R65" s="30"/>
      <c r="S65" s="30"/>
      <c r="T65" s="31"/>
    </row>
    <row r="66" spans="1:20" x14ac:dyDescent="0.2">
      <c r="A66" s="436"/>
      <c r="B66" s="10" t="s">
        <v>36</v>
      </c>
      <c r="C66" s="30"/>
      <c r="D66" s="35"/>
      <c r="E66" s="30"/>
      <c r="F66" s="35"/>
      <c r="G66" s="30"/>
      <c r="H66" s="31"/>
      <c r="I66" s="453"/>
      <c r="J66" s="10" t="s">
        <v>50</v>
      </c>
      <c r="T66" s="2"/>
    </row>
    <row r="67" spans="1:20" x14ac:dyDescent="0.2">
      <c r="A67" s="436"/>
      <c r="B67" s="10" t="s">
        <v>37</v>
      </c>
      <c r="D67" s="36"/>
      <c r="F67" s="36"/>
      <c r="H67" s="2"/>
      <c r="I67" s="453"/>
      <c r="J67" s="455" t="s">
        <v>55</v>
      </c>
      <c r="K67" s="456"/>
      <c r="L67" s="456"/>
      <c r="M67" s="456"/>
      <c r="N67" s="456"/>
      <c r="O67" s="456"/>
      <c r="P67" s="456"/>
      <c r="Q67" s="456"/>
      <c r="R67" s="456"/>
      <c r="S67" s="456"/>
      <c r="T67" s="457"/>
    </row>
    <row r="68" spans="1:20" x14ac:dyDescent="0.2">
      <c r="A68" s="436"/>
      <c r="B68" s="10" t="s">
        <v>38</v>
      </c>
      <c r="C68" s="30"/>
      <c r="D68" s="35"/>
      <c r="E68" s="30"/>
      <c r="F68" s="35"/>
      <c r="G68" s="30"/>
      <c r="H68" s="31"/>
      <c r="I68" s="453"/>
      <c r="J68" s="9" t="s">
        <v>47</v>
      </c>
      <c r="T68" s="2"/>
    </row>
    <row r="69" spans="1:20" x14ac:dyDescent="0.2">
      <c r="A69" s="40"/>
      <c r="B69" s="10" t="s">
        <v>39</v>
      </c>
      <c r="D69" s="36"/>
      <c r="F69" s="36"/>
      <c r="H69" s="2"/>
      <c r="I69" s="453"/>
      <c r="J69" s="10" t="s">
        <v>48</v>
      </c>
      <c r="K69" s="30"/>
      <c r="L69" s="30"/>
      <c r="M69" s="30"/>
      <c r="N69" s="30"/>
      <c r="O69" s="30"/>
      <c r="P69" s="30"/>
      <c r="Q69" s="30"/>
      <c r="R69" s="30"/>
      <c r="S69" s="30"/>
      <c r="T69" s="31"/>
    </row>
    <row r="70" spans="1:20" ht="16" thickBot="1" x14ac:dyDescent="0.25">
      <c r="A70" s="40"/>
      <c r="B70" s="11" t="s">
        <v>40</v>
      </c>
      <c r="C70" s="32"/>
      <c r="D70" s="37"/>
      <c r="E70" s="32"/>
      <c r="F70" s="37"/>
      <c r="G70" s="32"/>
      <c r="H70" s="33"/>
      <c r="I70" s="453"/>
      <c r="J70" s="10" t="s">
        <v>49</v>
      </c>
      <c r="T70" s="2"/>
    </row>
    <row r="71" spans="1:20" x14ac:dyDescent="0.2">
      <c r="A71" s="40"/>
      <c r="B71" s="38"/>
      <c r="C71" s="38"/>
      <c r="D71" s="38"/>
      <c r="E71" s="38"/>
      <c r="F71" s="38"/>
      <c r="G71" s="38"/>
      <c r="H71" s="41"/>
      <c r="I71" s="453"/>
      <c r="J71" s="98" t="s">
        <v>50</v>
      </c>
      <c r="K71" s="99"/>
      <c r="L71" s="99"/>
      <c r="M71" s="99"/>
      <c r="N71" s="99"/>
      <c r="O71" s="99"/>
      <c r="P71" s="99"/>
      <c r="Q71" s="99"/>
      <c r="R71" s="99"/>
      <c r="S71" s="99"/>
      <c r="T71" s="100"/>
    </row>
    <row r="72" spans="1:20" x14ac:dyDescent="0.2">
      <c r="A72" s="40"/>
      <c r="B72" s="38"/>
      <c r="C72" s="38"/>
      <c r="D72" s="38"/>
      <c r="E72" s="38"/>
      <c r="F72" s="38"/>
      <c r="G72" s="38"/>
      <c r="H72" s="41"/>
      <c r="I72" s="453"/>
      <c r="J72" s="10" t="s">
        <v>51</v>
      </c>
      <c r="T72" s="2"/>
    </row>
    <row r="73" spans="1:20" x14ac:dyDescent="0.2">
      <c r="A73" s="40"/>
      <c r="B73" s="38"/>
      <c r="C73" s="38"/>
      <c r="D73" s="38"/>
      <c r="E73" s="38"/>
      <c r="F73" s="38"/>
      <c r="G73" s="38"/>
      <c r="H73" s="41"/>
      <c r="I73" s="453"/>
      <c r="J73" s="10" t="s">
        <v>49</v>
      </c>
      <c r="K73" s="30"/>
      <c r="L73" s="30"/>
      <c r="M73" s="30"/>
      <c r="N73" s="30"/>
      <c r="O73" s="30"/>
      <c r="P73" s="30"/>
      <c r="Q73" s="30"/>
      <c r="R73" s="30"/>
      <c r="S73" s="30"/>
      <c r="T73" s="31"/>
    </row>
    <row r="74" spans="1:20" ht="16" thickBot="1" x14ac:dyDescent="0.25">
      <c r="A74" s="42"/>
      <c r="B74" s="43"/>
      <c r="C74" s="43"/>
      <c r="D74" s="43"/>
      <c r="E74" s="43"/>
      <c r="F74" s="43"/>
      <c r="G74" s="43"/>
      <c r="H74" s="44"/>
      <c r="I74" s="454"/>
      <c r="J74" s="11" t="s">
        <v>50</v>
      </c>
      <c r="K74" s="4"/>
      <c r="L74" s="4"/>
      <c r="M74" s="4"/>
      <c r="N74" s="4"/>
      <c r="O74" s="4"/>
      <c r="P74" s="4"/>
      <c r="Q74" s="4"/>
      <c r="R74" s="4"/>
      <c r="S74" s="4"/>
      <c r="T74" s="5"/>
    </row>
    <row r="75" spans="1:20" x14ac:dyDescent="0.2">
      <c r="I75" s="97"/>
    </row>
    <row r="76" spans="1:20" x14ac:dyDescent="0.2">
      <c r="I76" s="97"/>
    </row>
    <row r="77" spans="1:20" x14ac:dyDescent="0.2">
      <c r="I77" s="97"/>
    </row>
    <row r="78" spans="1:20" x14ac:dyDescent="0.2">
      <c r="I78" s="97"/>
    </row>
    <row r="79" spans="1:20" x14ac:dyDescent="0.2">
      <c r="I79" s="97"/>
    </row>
    <row r="80" spans="1:20" x14ac:dyDescent="0.2">
      <c r="I80" s="97"/>
    </row>
    <row r="81" spans="9:9" x14ac:dyDescent="0.2">
      <c r="I81" s="97"/>
    </row>
    <row r="82" spans="9:9" x14ac:dyDescent="0.2">
      <c r="I82" s="97"/>
    </row>
    <row r="83" spans="9:9" x14ac:dyDescent="0.2">
      <c r="I83" s="97"/>
    </row>
    <row r="84" spans="9:9" x14ac:dyDescent="0.2">
      <c r="I84" s="97"/>
    </row>
    <row r="85" spans="9:9" x14ac:dyDescent="0.2">
      <c r="I85" s="97"/>
    </row>
    <row r="86" spans="9:9" x14ac:dyDescent="0.2">
      <c r="I86" s="97"/>
    </row>
    <row r="87" spans="9:9" x14ac:dyDescent="0.2">
      <c r="I87" s="97"/>
    </row>
    <row r="88" spans="9:9" x14ac:dyDescent="0.2">
      <c r="I88" s="97"/>
    </row>
    <row r="89" spans="9:9" x14ac:dyDescent="0.2">
      <c r="I89" s="97"/>
    </row>
    <row r="90" spans="9:9" x14ac:dyDescent="0.2">
      <c r="I90" s="97"/>
    </row>
    <row r="91" spans="9:9" x14ac:dyDescent="0.2">
      <c r="I91" s="97"/>
    </row>
  </sheetData>
  <mergeCells count="42">
    <mergeCell ref="C14:H14"/>
    <mergeCell ref="C17:H17"/>
    <mergeCell ref="B39:B58"/>
    <mergeCell ref="C39:H39"/>
    <mergeCell ref="C40:D40"/>
    <mergeCell ref="E40:F40"/>
    <mergeCell ref="G40:H40"/>
    <mergeCell ref="G1:I1"/>
    <mergeCell ref="A2:T2"/>
    <mergeCell ref="A3:A68"/>
    <mergeCell ref="B3:B22"/>
    <mergeCell ref="C3:H3"/>
    <mergeCell ref="I3:I42"/>
    <mergeCell ref="J3:T3"/>
    <mergeCell ref="C4:D4"/>
    <mergeCell ref="E4:F4"/>
    <mergeCell ref="G4:H4"/>
    <mergeCell ref="C8:F8"/>
    <mergeCell ref="G8:H9"/>
    <mergeCell ref="C9:D9"/>
    <mergeCell ref="E9:F9"/>
    <mergeCell ref="J11:T11"/>
    <mergeCell ref="C13:D13"/>
    <mergeCell ref="J19:T19"/>
    <mergeCell ref="C20:H20"/>
    <mergeCell ref="B23:H23"/>
    <mergeCell ref="J27:T27"/>
    <mergeCell ref="J35:T35"/>
    <mergeCell ref="I43:I74"/>
    <mergeCell ref="J43:T43"/>
    <mergeCell ref="C44:F44"/>
    <mergeCell ref="G44:H45"/>
    <mergeCell ref="C45:D45"/>
    <mergeCell ref="E45:F45"/>
    <mergeCell ref="C49:D49"/>
    <mergeCell ref="C50:H50"/>
    <mergeCell ref="J51:T51"/>
    <mergeCell ref="C53:H53"/>
    <mergeCell ref="C56:H56"/>
    <mergeCell ref="B59:H59"/>
    <mergeCell ref="J59:T59"/>
    <mergeCell ref="J67:T67"/>
  </mergeCells>
  <pageMargins left="0.25" right="0.25" top="0.75" bottom="0.75" header="0.3" footer="0.3"/>
  <pageSetup scale="4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86422-095C-49B4-904F-3A33DDD37E54}">
  <sheetPr codeName="Sheet37">
    <tabColor theme="5"/>
  </sheetPr>
  <dimension ref="A1:J74"/>
  <sheetViews>
    <sheetView topLeftCell="A25" workbookViewId="0">
      <selection activeCell="C19" sqref="C19"/>
    </sheetView>
  </sheetViews>
  <sheetFormatPr baseColWidth="10" defaultColWidth="8.83203125" defaultRowHeight="15" x14ac:dyDescent="0.2"/>
  <sheetData>
    <row r="1" spans="1:10" ht="16" thickBot="1" x14ac:dyDescent="0.25">
      <c r="A1" s="180"/>
      <c r="B1" s="142"/>
      <c r="C1" s="142"/>
      <c r="D1" s="142"/>
      <c r="E1" s="142"/>
      <c r="F1" s="142"/>
      <c r="G1" s="513" t="s">
        <v>375</v>
      </c>
      <c r="H1" s="513"/>
      <c r="I1" s="513"/>
      <c r="J1" s="275">
        <v>8</v>
      </c>
    </row>
    <row r="2" spans="1:10" ht="16" thickBot="1" x14ac:dyDescent="0.25">
      <c r="A2" s="412" t="s">
        <v>13</v>
      </c>
      <c r="B2" s="413"/>
      <c r="C2" s="413"/>
      <c r="D2" s="413"/>
      <c r="E2" s="413"/>
      <c r="F2" s="413"/>
      <c r="G2" s="413"/>
      <c r="H2" s="413"/>
      <c r="I2" s="413"/>
      <c r="J2" s="542"/>
    </row>
    <row r="3" spans="1:10" x14ac:dyDescent="0.2">
      <c r="A3" s="538"/>
      <c r="B3" s="539" t="s">
        <v>58</v>
      </c>
      <c r="C3" s="426" t="s">
        <v>376</v>
      </c>
      <c r="D3" s="424"/>
      <c r="E3" s="424"/>
      <c r="F3" s="424"/>
      <c r="G3" s="424"/>
      <c r="H3" s="425"/>
      <c r="I3" s="452" t="s">
        <v>59</v>
      </c>
      <c r="J3" s="282" t="s">
        <v>46</v>
      </c>
    </row>
    <row r="4" spans="1:10" x14ac:dyDescent="0.2">
      <c r="A4" s="436"/>
      <c r="B4" s="540"/>
      <c r="C4" s="518" t="s">
        <v>8</v>
      </c>
      <c r="D4" s="519"/>
      <c r="E4" s="519" t="s">
        <v>9</v>
      </c>
      <c r="F4" s="519"/>
      <c r="G4" s="519" t="s">
        <v>10</v>
      </c>
      <c r="H4" s="534"/>
      <c r="I4" s="453"/>
      <c r="J4" s="283" t="s">
        <v>47</v>
      </c>
    </row>
    <row r="5" spans="1:10" x14ac:dyDescent="0.2">
      <c r="A5" s="436"/>
      <c r="B5" s="540"/>
      <c r="C5" s="9" t="s">
        <v>5</v>
      </c>
      <c r="D5" s="165">
        <v>41</v>
      </c>
      <c r="E5" s="12" t="s">
        <v>263</v>
      </c>
      <c r="F5" s="165">
        <v>203.75</v>
      </c>
      <c r="G5" s="12" t="s">
        <v>5</v>
      </c>
      <c r="H5" s="164">
        <v>20</v>
      </c>
      <c r="I5" s="453"/>
      <c r="J5" s="284" t="s">
        <v>48</v>
      </c>
    </row>
    <row r="6" spans="1:10" x14ac:dyDescent="0.2">
      <c r="A6" s="436"/>
      <c r="B6" s="540"/>
      <c r="C6" s="10" t="s">
        <v>6</v>
      </c>
      <c r="D6" s="30">
        <v>41</v>
      </c>
      <c r="E6" s="13" t="s">
        <v>5</v>
      </c>
      <c r="F6" s="30">
        <v>189.875</v>
      </c>
      <c r="G6" s="13" t="s">
        <v>6</v>
      </c>
      <c r="H6" s="31">
        <v>20</v>
      </c>
      <c r="I6" s="453"/>
      <c r="J6" s="284" t="s">
        <v>49</v>
      </c>
    </row>
    <row r="7" spans="1:10" ht="16" thickBot="1" x14ac:dyDescent="0.25">
      <c r="A7" s="436"/>
      <c r="B7" s="540"/>
      <c r="C7" s="11" t="s">
        <v>7</v>
      </c>
      <c r="D7" s="4" t="s">
        <v>197</v>
      </c>
      <c r="E7" s="14" t="s">
        <v>7</v>
      </c>
      <c r="F7" s="4">
        <v>13.875</v>
      </c>
      <c r="G7" s="14" t="s">
        <v>7</v>
      </c>
      <c r="H7" s="5">
        <v>0</v>
      </c>
      <c r="I7" s="453"/>
      <c r="J7" s="285" t="s">
        <v>50</v>
      </c>
    </row>
    <row r="8" spans="1:10" x14ac:dyDescent="0.2">
      <c r="A8" s="436"/>
      <c r="B8" s="540"/>
      <c r="C8" s="426" t="s">
        <v>12</v>
      </c>
      <c r="D8" s="424"/>
      <c r="E8" s="424"/>
      <c r="F8" s="424"/>
      <c r="G8" s="522" t="s">
        <v>2</v>
      </c>
      <c r="H8" s="323"/>
      <c r="I8" s="453"/>
      <c r="J8" s="284" t="s">
        <v>51</v>
      </c>
    </row>
    <row r="9" spans="1:10" x14ac:dyDescent="0.2">
      <c r="A9" s="436"/>
      <c r="B9" s="540"/>
      <c r="C9" s="518" t="s">
        <v>8</v>
      </c>
      <c r="D9" s="519"/>
      <c r="E9" s="519" t="s">
        <v>10</v>
      </c>
      <c r="F9" s="519"/>
      <c r="G9" s="536"/>
      <c r="H9" s="537"/>
      <c r="I9" s="453"/>
      <c r="J9" s="284" t="s">
        <v>49</v>
      </c>
    </row>
    <row r="10" spans="1:10" x14ac:dyDescent="0.2">
      <c r="A10" s="436"/>
      <c r="B10" s="540"/>
      <c r="C10" s="10" t="s">
        <v>5</v>
      </c>
      <c r="D10">
        <v>36.5</v>
      </c>
      <c r="E10" s="13" t="s">
        <v>5</v>
      </c>
      <c r="F10">
        <v>8</v>
      </c>
      <c r="G10" s="10" t="s">
        <v>18</v>
      </c>
      <c r="H10" s="31">
        <v>4.5</v>
      </c>
      <c r="I10" s="453"/>
      <c r="J10" s="284" t="s">
        <v>50</v>
      </c>
    </row>
    <row r="11" spans="1:10" x14ac:dyDescent="0.2">
      <c r="A11" s="436"/>
      <c r="B11" s="540"/>
      <c r="C11" s="10" t="s">
        <v>6</v>
      </c>
      <c r="D11" s="30">
        <v>28.5</v>
      </c>
      <c r="E11" s="13" t="s">
        <v>6</v>
      </c>
      <c r="F11" s="30">
        <v>0</v>
      </c>
      <c r="G11" s="10" t="s">
        <v>354</v>
      </c>
      <c r="H11" s="2">
        <v>11.5</v>
      </c>
      <c r="I11" s="453"/>
      <c r="J11" s="286" t="s">
        <v>52</v>
      </c>
    </row>
    <row r="12" spans="1:10" ht="16" thickBot="1" x14ac:dyDescent="0.25">
      <c r="A12" s="436"/>
      <c r="B12" s="540"/>
      <c r="C12" s="11" t="s">
        <v>7</v>
      </c>
      <c r="D12" s="4">
        <v>0.5</v>
      </c>
      <c r="E12" s="14" t="s">
        <v>7</v>
      </c>
      <c r="F12" s="4">
        <v>0</v>
      </c>
      <c r="G12" s="11" t="s">
        <v>353</v>
      </c>
      <c r="H12" s="33">
        <v>2.75</v>
      </c>
      <c r="I12" s="453"/>
      <c r="J12" s="283" t="s">
        <v>47</v>
      </c>
    </row>
    <row r="13" spans="1:10" ht="16" thickBot="1" x14ac:dyDescent="0.25">
      <c r="A13" s="436"/>
      <c r="B13" s="540"/>
      <c r="C13" s="520" t="s">
        <v>0</v>
      </c>
      <c r="D13" s="521"/>
      <c r="E13" s="139" t="s">
        <v>267</v>
      </c>
      <c r="F13" s="135">
        <v>9.25</v>
      </c>
      <c r="G13" s="139" t="s">
        <v>268</v>
      </c>
      <c r="H13" s="134">
        <v>5.25</v>
      </c>
      <c r="I13" s="453"/>
      <c r="J13" s="284" t="s">
        <v>48</v>
      </c>
    </row>
    <row r="14" spans="1:10" x14ac:dyDescent="0.2">
      <c r="A14" s="436"/>
      <c r="B14" s="540"/>
      <c r="C14" s="522" t="s">
        <v>262</v>
      </c>
      <c r="D14" s="322"/>
      <c r="E14" s="322"/>
      <c r="F14" s="322"/>
      <c r="G14" s="322"/>
      <c r="H14" s="323"/>
      <c r="I14" s="453"/>
      <c r="J14" s="284" t="s">
        <v>49</v>
      </c>
    </row>
    <row r="15" spans="1:10" x14ac:dyDescent="0.2">
      <c r="A15" s="436"/>
      <c r="B15" s="540"/>
      <c r="C15" s="136" t="s">
        <v>263</v>
      </c>
      <c r="D15" s="137" t="s">
        <v>132</v>
      </c>
      <c r="E15" s="137" t="s">
        <v>264</v>
      </c>
      <c r="F15" s="137" t="s">
        <v>22</v>
      </c>
      <c r="G15" s="137" t="s">
        <v>259</v>
      </c>
      <c r="H15" s="138" t="s">
        <v>97</v>
      </c>
      <c r="I15" s="453"/>
      <c r="J15" s="285" t="s">
        <v>50</v>
      </c>
    </row>
    <row r="16" spans="1:10" ht="16" thickBot="1" x14ac:dyDescent="0.25">
      <c r="A16" s="436"/>
      <c r="B16" s="540"/>
      <c r="C16" s="1">
        <v>16.25</v>
      </c>
      <c r="D16" s="30">
        <v>4.25</v>
      </c>
      <c r="E16">
        <v>0</v>
      </c>
      <c r="F16" s="30">
        <v>1</v>
      </c>
      <c r="G16">
        <v>1.75</v>
      </c>
      <c r="H16" s="31">
        <v>4</v>
      </c>
      <c r="I16" s="453"/>
      <c r="J16" s="284" t="s">
        <v>51</v>
      </c>
    </row>
    <row r="17" spans="1:10" x14ac:dyDescent="0.2">
      <c r="A17" s="436"/>
      <c r="B17" s="540"/>
      <c r="C17" s="522" t="s">
        <v>265</v>
      </c>
      <c r="D17" s="322"/>
      <c r="E17" s="322"/>
      <c r="F17" s="322"/>
      <c r="G17" s="322"/>
      <c r="H17" s="323"/>
      <c r="I17" s="453"/>
      <c r="J17" s="284" t="s">
        <v>49</v>
      </c>
    </row>
    <row r="18" spans="1:10" x14ac:dyDescent="0.2">
      <c r="A18" s="436"/>
      <c r="B18" s="540"/>
      <c r="C18" s="136" t="s">
        <v>263</v>
      </c>
      <c r="D18" s="137" t="s">
        <v>132</v>
      </c>
      <c r="E18" s="137" t="s">
        <v>264</v>
      </c>
      <c r="F18" s="137" t="s">
        <v>22</v>
      </c>
      <c r="G18" s="137" t="s">
        <v>259</v>
      </c>
      <c r="H18" s="138" t="s">
        <v>97</v>
      </c>
      <c r="I18" s="453"/>
      <c r="J18" s="284" t="s">
        <v>50</v>
      </c>
    </row>
    <row r="19" spans="1:10" ht="16" thickBot="1" x14ac:dyDescent="0.25">
      <c r="A19" s="436"/>
      <c r="B19" s="540"/>
      <c r="C19" s="160">
        <v>203.75</v>
      </c>
      <c r="D19" s="30">
        <v>53</v>
      </c>
      <c r="E19">
        <v>0</v>
      </c>
      <c r="F19" s="30">
        <v>15</v>
      </c>
      <c r="G19">
        <v>12.25</v>
      </c>
      <c r="H19" s="31">
        <v>54.75</v>
      </c>
      <c r="I19" s="453"/>
      <c r="J19" s="286" t="s">
        <v>53</v>
      </c>
    </row>
    <row r="20" spans="1:10" x14ac:dyDescent="0.2">
      <c r="A20" s="436"/>
      <c r="B20" s="540"/>
      <c r="C20" s="426" t="s">
        <v>1</v>
      </c>
      <c r="D20" s="424"/>
      <c r="E20" s="424"/>
      <c r="F20" s="424"/>
      <c r="G20" s="424"/>
      <c r="H20" s="425"/>
      <c r="I20" s="453"/>
      <c r="J20" s="283" t="s">
        <v>47</v>
      </c>
    </row>
    <row r="21" spans="1:10" x14ac:dyDescent="0.2">
      <c r="A21" s="436"/>
      <c r="B21" s="540"/>
      <c r="C21" s="136" t="s">
        <v>266</v>
      </c>
      <c r="D21" s="137" t="s">
        <v>45</v>
      </c>
      <c r="E21" s="137" t="s">
        <v>15</v>
      </c>
      <c r="F21" s="137" t="s">
        <v>14</v>
      </c>
      <c r="G21" s="137" t="s">
        <v>42</v>
      </c>
      <c r="H21" s="138" t="s">
        <v>44</v>
      </c>
      <c r="I21" s="453"/>
      <c r="J21" s="284" t="s">
        <v>48</v>
      </c>
    </row>
    <row r="22" spans="1:10" ht="16" thickBot="1" x14ac:dyDescent="0.25">
      <c r="A22" s="436"/>
      <c r="B22" s="541"/>
      <c r="C22" s="3">
        <v>0</v>
      </c>
      <c r="D22" s="32">
        <v>0.5</v>
      </c>
      <c r="E22" s="4">
        <v>0.25</v>
      </c>
      <c r="F22" s="32">
        <v>1.25</v>
      </c>
      <c r="G22" s="4">
        <v>0</v>
      </c>
      <c r="H22" s="33">
        <v>0.25</v>
      </c>
      <c r="I22" s="453"/>
      <c r="J22" s="284" t="s">
        <v>49</v>
      </c>
    </row>
    <row r="23" spans="1:10" x14ac:dyDescent="0.2">
      <c r="A23" s="436"/>
      <c r="B23" s="426" t="s">
        <v>23</v>
      </c>
      <c r="C23" s="424"/>
      <c r="D23" s="424"/>
      <c r="E23" s="424"/>
      <c r="F23" s="424"/>
      <c r="G23" s="424"/>
      <c r="H23" s="425"/>
      <c r="I23" s="453"/>
      <c r="J23" s="285" t="s">
        <v>50</v>
      </c>
    </row>
    <row r="24" spans="1:10" x14ac:dyDescent="0.2">
      <c r="A24" s="436"/>
      <c r="B24" s="136" t="s">
        <v>24</v>
      </c>
      <c r="C24" s="137" t="s">
        <v>25</v>
      </c>
      <c r="D24" s="137" t="s">
        <v>28</v>
      </c>
      <c r="E24" s="137" t="s">
        <v>26</v>
      </c>
      <c r="F24" s="137" t="s">
        <v>30</v>
      </c>
      <c r="G24" s="137" t="s">
        <v>27</v>
      </c>
      <c r="H24" s="138" t="s">
        <v>29</v>
      </c>
      <c r="I24" s="453"/>
      <c r="J24" s="284" t="s">
        <v>51</v>
      </c>
    </row>
    <row r="25" spans="1:10" x14ac:dyDescent="0.2">
      <c r="A25" s="436"/>
      <c r="B25" s="9" t="s">
        <v>31</v>
      </c>
      <c r="C25">
        <v>1.75</v>
      </c>
      <c r="D25" s="34">
        <v>6.5</v>
      </c>
      <c r="E25">
        <v>0</v>
      </c>
      <c r="F25" s="34">
        <v>0</v>
      </c>
      <c r="G25">
        <v>0.25</v>
      </c>
      <c r="H25" s="2">
        <v>2</v>
      </c>
      <c r="I25" s="453"/>
      <c r="J25" s="284" t="s">
        <v>49</v>
      </c>
    </row>
    <row r="26" spans="1:10" x14ac:dyDescent="0.2">
      <c r="A26" s="436"/>
      <c r="B26" s="10" t="s">
        <v>32</v>
      </c>
      <c r="C26" s="30">
        <v>0</v>
      </c>
      <c r="D26" s="35">
        <v>0</v>
      </c>
      <c r="E26" s="30">
        <v>0</v>
      </c>
      <c r="F26" s="35">
        <v>0</v>
      </c>
      <c r="G26" s="30">
        <v>0</v>
      </c>
      <c r="H26" s="31">
        <v>0</v>
      </c>
      <c r="I26" s="453"/>
      <c r="J26" s="284" t="s">
        <v>50</v>
      </c>
    </row>
    <row r="27" spans="1:10" x14ac:dyDescent="0.2">
      <c r="A27" s="436"/>
      <c r="B27" s="10" t="s">
        <v>33</v>
      </c>
      <c r="C27">
        <v>6.25</v>
      </c>
      <c r="D27" s="36">
        <v>13.5</v>
      </c>
      <c r="E27">
        <v>0</v>
      </c>
      <c r="F27" s="36">
        <v>0</v>
      </c>
      <c r="G27">
        <v>0</v>
      </c>
      <c r="H27" s="2">
        <v>0</v>
      </c>
      <c r="I27" s="453"/>
      <c r="J27" s="286" t="s">
        <v>54</v>
      </c>
    </row>
    <row r="28" spans="1:10" x14ac:dyDescent="0.2">
      <c r="A28" s="436"/>
      <c r="B28" s="10" t="s">
        <v>34</v>
      </c>
      <c r="C28" s="30">
        <v>0</v>
      </c>
      <c r="D28" s="35">
        <v>0</v>
      </c>
      <c r="E28" s="30">
        <v>0</v>
      </c>
      <c r="F28" s="35">
        <v>0</v>
      </c>
      <c r="G28" s="30">
        <v>0</v>
      </c>
      <c r="H28" s="31">
        <v>0</v>
      </c>
      <c r="I28" s="453"/>
      <c r="J28" s="283" t="s">
        <v>47</v>
      </c>
    </row>
    <row r="29" spans="1:10" x14ac:dyDescent="0.2">
      <c r="A29" s="436"/>
      <c r="B29" s="10" t="s">
        <v>35</v>
      </c>
      <c r="C29">
        <v>0</v>
      </c>
      <c r="D29" s="36">
        <v>0</v>
      </c>
      <c r="E29">
        <v>0</v>
      </c>
      <c r="F29" s="36">
        <v>0</v>
      </c>
      <c r="G29">
        <v>0</v>
      </c>
      <c r="H29" s="2">
        <v>0</v>
      </c>
      <c r="I29" s="453"/>
      <c r="J29" s="284" t="s">
        <v>48</v>
      </c>
    </row>
    <row r="30" spans="1:10" x14ac:dyDescent="0.2">
      <c r="A30" s="436"/>
      <c r="B30" s="10" t="s">
        <v>36</v>
      </c>
      <c r="C30" s="30">
        <v>0</v>
      </c>
      <c r="D30" s="35">
        <v>0</v>
      </c>
      <c r="E30" s="30">
        <v>0</v>
      </c>
      <c r="F30" s="35">
        <v>0</v>
      </c>
      <c r="G30" s="30">
        <v>0</v>
      </c>
      <c r="H30" s="31">
        <v>0</v>
      </c>
      <c r="I30" s="453"/>
      <c r="J30" s="284" t="s">
        <v>49</v>
      </c>
    </row>
    <row r="31" spans="1:10" x14ac:dyDescent="0.2">
      <c r="A31" s="436"/>
      <c r="B31" s="10" t="s">
        <v>37</v>
      </c>
      <c r="C31">
        <v>0</v>
      </c>
      <c r="D31" s="36">
        <v>0</v>
      </c>
      <c r="E31">
        <v>0</v>
      </c>
      <c r="F31" s="36">
        <v>0</v>
      </c>
      <c r="G31">
        <v>0</v>
      </c>
      <c r="H31" s="2">
        <v>0</v>
      </c>
      <c r="I31" s="453"/>
      <c r="J31" s="285" t="s">
        <v>50</v>
      </c>
    </row>
    <row r="32" spans="1:10" x14ac:dyDescent="0.2">
      <c r="A32" s="436"/>
      <c r="B32" s="10" t="s">
        <v>38</v>
      </c>
      <c r="C32" s="30">
        <v>0</v>
      </c>
      <c r="D32" s="35">
        <v>0</v>
      </c>
      <c r="E32" s="30">
        <v>0</v>
      </c>
      <c r="F32" s="35">
        <v>0</v>
      </c>
      <c r="G32" s="30">
        <v>0</v>
      </c>
      <c r="H32" s="31">
        <v>0</v>
      </c>
      <c r="I32" s="453"/>
      <c r="J32" s="284" t="s">
        <v>51</v>
      </c>
    </row>
    <row r="33" spans="1:10" x14ac:dyDescent="0.2">
      <c r="A33" s="436"/>
      <c r="B33" s="10" t="s">
        <v>39</v>
      </c>
      <c r="C33">
        <v>0</v>
      </c>
      <c r="D33" s="36">
        <v>0</v>
      </c>
      <c r="E33">
        <v>0</v>
      </c>
      <c r="F33" s="36">
        <v>0</v>
      </c>
      <c r="G33">
        <v>0</v>
      </c>
      <c r="H33" s="2">
        <v>0</v>
      </c>
      <c r="I33" s="453"/>
      <c r="J33" s="284" t="s">
        <v>49</v>
      </c>
    </row>
    <row r="34" spans="1:10" ht="16" thickBot="1" x14ac:dyDescent="0.25">
      <c r="A34" s="436"/>
      <c r="B34" s="11" t="s">
        <v>40</v>
      </c>
      <c r="C34" s="32">
        <v>0</v>
      </c>
      <c r="D34" s="37">
        <v>0</v>
      </c>
      <c r="E34" s="32">
        <v>0</v>
      </c>
      <c r="F34" s="37">
        <v>0</v>
      </c>
      <c r="G34" s="32">
        <v>0</v>
      </c>
      <c r="H34" s="33">
        <v>0</v>
      </c>
      <c r="I34" s="453"/>
      <c r="J34" s="284" t="s">
        <v>50</v>
      </c>
    </row>
    <row r="35" spans="1:10" x14ac:dyDescent="0.2">
      <c r="A35" s="436"/>
      <c r="B35" s="183"/>
      <c r="C35" s="183"/>
      <c r="D35" s="183"/>
      <c r="E35" s="183"/>
      <c r="F35" s="183"/>
      <c r="G35" s="183"/>
      <c r="H35" s="39"/>
      <c r="I35" s="453"/>
      <c r="J35" s="286" t="s">
        <v>55</v>
      </c>
    </row>
    <row r="36" spans="1:10" x14ac:dyDescent="0.2">
      <c r="A36" s="436"/>
      <c r="B36" s="183"/>
      <c r="C36" s="183"/>
      <c r="D36" s="183"/>
      <c r="E36" s="183"/>
      <c r="F36" s="183"/>
      <c r="G36" s="183"/>
      <c r="H36" s="39"/>
      <c r="I36" s="453"/>
      <c r="J36" s="283" t="s">
        <v>47</v>
      </c>
    </row>
    <row r="37" spans="1:10" x14ac:dyDescent="0.2">
      <c r="A37" s="436"/>
      <c r="B37" s="183"/>
      <c r="C37" s="183"/>
      <c r="D37" s="183"/>
      <c r="E37" s="183"/>
      <c r="F37" s="183"/>
      <c r="G37" s="183"/>
      <c r="H37" s="39"/>
      <c r="I37" s="453"/>
      <c r="J37" s="284" t="s">
        <v>48</v>
      </c>
    </row>
    <row r="38" spans="1:10" ht="16" thickBot="1" x14ac:dyDescent="0.25">
      <c r="A38" s="436"/>
      <c r="B38" s="54"/>
      <c r="C38" s="54"/>
      <c r="D38" s="54"/>
      <c r="E38" s="54"/>
      <c r="F38" s="54"/>
      <c r="G38" s="54"/>
      <c r="H38" s="55"/>
      <c r="I38" s="453"/>
      <c r="J38" s="284" t="s">
        <v>49</v>
      </c>
    </row>
    <row r="39" spans="1:10" x14ac:dyDescent="0.2">
      <c r="A39" s="436"/>
      <c r="B39" s="539" t="s">
        <v>349</v>
      </c>
      <c r="C39" s="426" t="s">
        <v>376</v>
      </c>
      <c r="D39" s="424"/>
      <c r="E39" s="424"/>
      <c r="F39" s="424"/>
      <c r="G39" s="424"/>
      <c r="H39" s="425"/>
      <c r="I39" s="453"/>
      <c r="J39" s="285" t="s">
        <v>50</v>
      </c>
    </row>
    <row r="40" spans="1:10" x14ac:dyDescent="0.2">
      <c r="A40" s="436"/>
      <c r="B40" s="540"/>
      <c r="C40" s="518" t="s">
        <v>8</v>
      </c>
      <c r="D40" s="519"/>
      <c r="E40" s="519" t="s">
        <v>9</v>
      </c>
      <c r="F40" s="519"/>
      <c r="G40" s="519" t="s">
        <v>10</v>
      </c>
      <c r="H40" s="534"/>
      <c r="I40" s="453"/>
      <c r="J40" s="284" t="s">
        <v>51</v>
      </c>
    </row>
    <row r="41" spans="1:10" x14ac:dyDescent="0.2">
      <c r="A41" s="436"/>
      <c r="B41" s="540"/>
      <c r="C41" s="9" t="s">
        <v>5</v>
      </c>
      <c r="D41" s="165">
        <v>164</v>
      </c>
      <c r="E41" s="12" t="s">
        <v>263</v>
      </c>
      <c r="F41" s="165">
        <v>203.75</v>
      </c>
      <c r="G41" s="12" t="s">
        <v>5</v>
      </c>
      <c r="H41" s="164">
        <v>80</v>
      </c>
      <c r="I41" s="453"/>
      <c r="J41" s="284" t="s">
        <v>49</v>
      </c>
    </row>
    <row r="42" spans="1:10" ht="16" thickBot="1" x14ac:dyDescent="0.25">
      <c r="A42" s="436"/>
      <c r="B42" s="540"/>
      <c r="C42" s="10" t="s">
        <v>6</v>
      </c>
      <c r="D42" s="30">
        <v>164</v>
      </c>
      <c r="E42" s="13" t="s">
        <v>5</v>
      </c>
      <c r="F42" s="30">
        <v>189.875</v>
      </c>
      <c r="G42" s="13" t="s">
        <v>6</v>
      </c>
      <c r="H42" s="31">
        <v>80</v>
      </c>
      <c r="I42" s="454"/>
      <c r="J42" s="287" t="s">
        <v>50</v>
      </c>
    </row>
    <row r="43" spans="1:10" ht="16" thickBot="1" x14ac:dyDescent="0.25">
      <c r="A43" s="436"/>
      <c r="B43" s="540"/>
      <c r="C43" s="11" t="s">
        <v>7</v>
      </c>
      <c r="D43" s="4" t="s">
        <v>197</v>
      </c>
      <c r="E43" s="14" t="s">
        <v>7</v>
      </c>
      <c r="F43" s="4">
        <v>13.875</v>
      </c>
      <c r="G43" s="14" t="s">
        <v>7</v>
      </c>
      <c r="H43" s="5">
        <v>0</v>
      </c>
      <c r="I43" s="452" t="s">
        <v>60</v>
      </c>
      <c r="J43" s="282" t="s">
        <v>56</v>
      </c>
    </row>
    <row r="44" spans="1:10" x14ac:dyDescent="0.2">
      <c r="A44" s="436"/>
      <c r="B44" s="540"/>
      <c r="C44" s="426" t="s">
        <v>12</v>
      </c>
      <c r="D44" s="424"/>
      <c r="E44" s="424"/>
      <c r="F44" s="424"/>
      <c r="G44" s="522" t="s">
        <v>2</v>
      </c>
      <c r="H44" s="323"/>
      <c r="I44" s="453"/>
      <c r="J44" s="283" t="s">
        <v>47</v>
      </c>
    </row>
    <row r="45" spans="1:10" x14ac:dyDescent="0.2">
      <c r="A45" s="436"/>
      <c r="B45" s="540"/>
      <c r="C45" s="518" t="s">
        <v>8</v>
      </c>
      <c r="D45" s="519"/>
      <c r="E45" s="519" t="s">
        <v>10</v>
      </c>
      <c r="F45" s="519"/>
      <c r="G45" s="536"/>
      <c r="H45" s="537"/>
      <c r="I45" s="453"/>
      <c r="J45" s="284" t="s">
        <v>48</v>
      </c>
    </row>
    <row r="46" spans="1:10" x14ac:dyDescent="0.2">
      <c r="A46" s="436"/>
      <c r="B46" s="540"/>
      <c r="C46" s="10" t="s">
        <v>5</v>
      </c>
      <c r="D46">
        <v>146</v>
      </c>
      <c r="E46" s="13" t="s">
        <v>5</v>
      </c>
      <c r="F46">
        <v>32</v>
      </c>
      <c r="G46" s="10" t="s">
        <v>18</v>
      </c>
      <c r="H46" s="31">
        <v>18</v>
      </c>
      <c r="I46" s="453"/>
      <c r="J46" s="284" t="s">
        <v>49</v>
      </c>
    </row>
    <row r="47" spans="1:10" x14ac:dyDescent="0.2">
      <c r="A47" s="436"/>
      <c r="B47" s="540"/>
      <c r="C47" s="10" t="s">
        <v>6</v>
      </c>
      <c r="D47" s="30">
        <v>114</v>
      </c>
      <c r="E47" s="13" t="s">
        <v>6</v>
      </c>
      <c r="F47" s="30">
        <v>0</v>
      </c>
      <c r="G47" s="10" t="s">
        <v>354</v>
      </c>
      <c r="H47" s="2">
        <v>46</v>
      </c>
      <c r="I47" s="453"/>
      <c r="J47" s="285" t="s">
        <v>50</v>
      </c>
    </row>
    <row r="48" spans="1:10" ht="16" thickBot="1" x14ac:dyDescent="0.25">
      <c r="A48" s="436"/>
      <c r="B48" s="540"/>
      <c r="C48" s="11" t="s">
        <v>7</v>
      </c>
      <c r="D48" s="4">
        <v>2</v>
      </c>
      <c r="E48" s="14" t="s">
        <v>7</v>
      </c>
      <c r="F48" s="4">
        <v>0</v>
      </c>
      <c r="G48" s="11" t="s">
        <v>353</v>
      </c>
      <c r="H48" s="33">
        <v>11</v>
      </c>
      <c r="I48" s="453"/>
      <c r="J48" s="284" t="s">
        <v>51</v>
      </c>
    </row>
    <row r="49" spans="1:10" ht="16" thickBot="1" x14ac:dyDescent="0.25">
      <c r="A49" s="436"/>
      <c r="B49" s="540"/>
      <c r="C49" s="520" t="s">
        <v>0</v>
      </c>
      <c r="D49" s="521"/>
      <c r="E49" s="139" t="s">
        <v>267</v>
      </c>
      <c r="F49" s="135">
        <v>37</v>
      </c>
      <c r="G49" s="139" t="s">
        <v>268</v>
      </c>
      <c r="H49" s="134">
        <v>21</v>
      </c>
      <c r="I49" s="453"/>
      <c r="J49" s="284" t="s">
        <v>49</v>
      </c>
    </row>
    <row r="50" spans="1:10" x14ac:dyDescent="0.2">
      <c r="A50" s="436"/>
      <c r="B50" s="540"/>
      <c r="C50" s="522" t="s">
        <v>262</v>
      </c>
      <c r="D50" s="322"/>
      <c r="E50" s="322"/>
      <c r="F50" s="322"/>
      <c r="G50" s="322"/>
      <c r="H50" s="323"/>
      <c r="I50" s="453"/>
      <c r="J50" s="284" t="s">
        <v>50</v>
      </c>
    </row>
    <row r="51" spans="1:10" x14ac:dyDescent="0.2">
      <c r="A51" s="436"/>
      <c r="B51" s="540"/>
      <c r="C51" s="136" t="s">
        <v>263</v>
      </c>
      <c r="D51" s="137" t="s">
        <v>132</v>
      </c>
      <c r="E51" s="137" t="s">
        <v>264</v>
      </c>
      <c r="F51" s="137" t="s">
        <v>22</v>
      </c>
      <c r="G51" s="137" t="s">
        <v>259</v>
      </c>
      <c r="H51" s="138" t="s">
        <v>97</v>
      </c>
      <c r="I51" s="453"/>
      <c r="J51" s="286" t="s">
        <v>57</v>
      </c>
    </row>
    <row r="52" spans="1:10" ht="16" thickBot="1" x14ac:dyDescent="0.25">
      <c r="A52" s="436"/>
      <c r="B52" s="540"/>
      <c r="C52" s="1">
        <v>65</v>
      </c>
      <c r="D52" s="30">
        <v>17</v>
      </c>
      <c r="E52">
        <v>0</v>
      </c>
      <c r="F52" s="30">
        <v>4</v>
      </c>
      <c r="G52">
        <v>7</v>
      </c>
      <c r="H52" s="31">
        <v>16</v>
      </c>
      <c r="I52" s="453"/>
      <c r="J52" s="283" t="s">
        <v>47</v>
      </c>
    </row>
    <row r="53" spans="1:10" x14ac:dyDescent="0.2">
      <c r="A53" s="436"/>
      <c r="B53" s="540"/>
      <c r="C53" s="522" t="s">
        <v>265</v>
      </c>
      <c r="D53" s="322"/>
      <c r="E53" s="322"/>
      <c r="F53" s="322"/>
      <c r="G53" s="322"/>
      <c r="H53" s="323"/>
      <c r="I53" s="453"/>
      <c r="J53" s="284" t="s">
        <v>48</v>
      </c>
    </row>
    <row r="54" spans="1:10" x14ac:dyDescent="0.2">
      <c r="A54" s="436"/>
      <c r="B54" s="540"/>
      <c r="C54" s="136" t="s">
        <v>263</v>
      </c>
      <c r="D54" s="137" t="s">
        <v>132</v>
      </c>
      <c r="E54" s="137" t="s">
        <v>264</v>
      </c>
      <c r="F54" s="137" t="s">
        <v>22</v>
      </c>
      <c r="G54" s="137" t="s">
        <v>259</v>
      </c>
      <c r="H54" s="138" t="s">
        <v>97</v>
      </c>
      <c r="I54" s="453"/>
      <c r="J54" s="284" t="s">
        <v>49</v>
      </c>
    </row>
    <row r="55" spans="1:10" ht="16" thickBot="1" x14ac:dyDescent="0.25">
      <c r="A55" s="436"/>
      <c r="B55" s="540"/>
      <c r="C55" s="160">
        <v>815</v>
      </c>
      <c r="D55" s="30">
        <v>212</v>
      </c>
      <c r="E55">
        <v>0</v>
      </c>
      <c r="F55" s="30">
        <v>60</v>
      </c>
      <c r="G55">
        <v>49</v>
      </c>
      <c r="H55" s="31">
        <v>219</v>
      </c>
      <c r="I55" s="453"/>
      <c r="J55" s="285" t="s">
        <v>50</v>
      </c>
    </row>
    <row r="56" spans="1:10" x14ac:dyDescent="0.2">
      <c r="A56" s="436"/>
      <c r="B56" s="540"/>
      <c r="C56" s="426" t="s">
        <v>1</v>
      </c>
      <c r="D56" s="424"/>
      <c r="E56" s="424"/>
      <c r="F56" s="424"/>
      <c r="G56" s="424"/>
      <c r="H56" s="425"/>
      <c r="I56" s="453"/>
      <c r="J56" s="284" t="s">
        <v>51</v>
      </c>
    </row>
    <row r="57" spans="1:10" x14ac:dyDescent="0.2">
      <c r="A57" s="436"/>
      <c r="B57" s="540"/>
      <c r="C57" s="136" t="s">
        <v>266</v>
      </c>
      <c r="D57" s="137" t="s">
        <v>45</v>
      </c>
      <c r="E57" s="137" t="s">
        <v>15</v>
      </c>
      <c r="F57" s="137" t="s">
        <v>14</v>
      </c>
      <c r="G57" s="137" t="s">
        <v>42</v>
      </c>
      <c r="H57" s="138" t="s">
        <v>44</v>
      </c>
      <c r="I57" s="453"/>
      <c r="J57" s="284" t="s">
        <v>49</v>
      </c>
    </row>
    <row r="58" spans="1:10" ht="16" thickBot="1" x14ac:dyDescent="0.25">
      <c r="A58" s="436"/>
      <c r="B58" s="541"/>
      <c r="C58" s="3">
        <v>0</v>
      </c>
      <c r="D58" s="32">
        <v>2</v>
      </c>
      <c r="E58" s="4">
        <v>1</v>
      </c>
      <c r="F58" s="32">
        <v>5</v>
      </c>
      <c r="G58" s="4">
        <v>0</v>
      </c>
      <c r="H58" s="33">
        <v>1</v>
      </c>
      <c r="I58" s="453"/>
      <c r="J58" s="284" t="s">
        <v>50</v>
      </c>
    </row>
    <row r="59" spans="1:10" x14ac:dyDescent="0.2">
      <c r="A59" s="436"/>
      <c r="B59" s="426" t="s">
        <v>23</v>
      </c>
      <c r="C59" s="424"/>
      <c r="D59" s="424"/>
      <c r="E59" s="424"/>
      <c r="F59" s="424"/>
      <c r="G59" s="424"/>
      <c r="H59" s="425"/>
      <c r="I59" s="453"/>
      <c r="J59" s="286" t="s">
        <v>54</v>
      </c>
    </row>
    <row r="60" spans="1:10" x14ac:dyDescent="0.2">
      <c r="A60" s="436"/>
      <c r="B60" s="136" t="s">
        <v>24</v>
      </c>
      <c r="C60" s="137" t="s">
        <v>25</v>
      </c>
      <c r="D60" s="137" t="s">
        <v>28</v>
      </c>
      <c r="E60" s="137" t="s">
        <v>26</v>
      </c>
      <c r="F60" s="137" t="s">
        <v>30</v>
      </c>
      <c r="G60" s="137" t="s">
        <v>27</v>
      </c>
      <c r="H60" s="138" t="s">
        <v>29</v>
      </c>
      <c r="I60" s="453"/>
      <c r="J60" s="283" t="s">
        <v>47</v>
      </c>
    </row>
    <row r="61" spans="1:10" x14ac:dyDescent="0.2">
      <c r="A61" s="436"/>
      <c r="B61" s="9" t="s">
        <v>31</v>
      </c>
      <c r="C61">
        <v>1.75</v>
      </c>
      <c r="D61" s="34">
        <v>6.5</v>
      </c>
      <c r="E61">
        <v>0</v>
      </c>
      <c r="F61" s="34">
        <v>0</v>
      </c>
      <c r="G61">
        <v>0.25</v>
      </c>
      <c r="H61" s="2">
        <v>2</v>
      </c>
      <c r="I61" s="453"/>
      <c r="J61" s="284" t="s">
        <v>48</v>
      </c>
    </row>
    <row r="62" spans="1:10" x14ac:dyDescent="0.2">
      <c r="A62" s="436"/>
      <c r="B62" s="10" t="s">
        <v>32</v>
      </c>
      <c r="C62" s="30">
        <v>0</v>
      </c>
      <c r="D62" s="35">
        <v>0</v>
      </c>
      <c r="E62" s="30">
        <v>0</v>
      </c>
      <c r="F62" s="35">
        <v>0</v>
      </c>
      <c r="G62" s="30">
        <v>0</v>
      </c>
      <c r="H62" s="31">
        <v>0</v>
      </c>
      <c r="I62" s="453"/>
      <c r="J62" s="284" t="s">
        <v>49</v>
      </c>
    </row>
    <row r="63" spans="1:10" x14ac:dyDescent="0.2">
      <c r="A63" s="436"/>
      <c r="B63" s="10" t="s">
        <v>33</v>
      </c>
      <c r="C63">
        <v>6.25</v>
      </c>
      <c r="D63" s="36">
        <v>13.5</v>
      </c>
      <c r="E63">
        <v>0</v>
      </c>
      <c r="F63" s="36">
        <v>0</v>
      </c>
      <c r="G63">
        <v>0</v>
      </c>
      <c r="H63" s="2">
        <v>0</v>
      </c>
      <c r="I63" s="453"/>
      <c r="J63" s="285" t="s">
        <v>50</v>
      </c>
    </row>
    <row r="64" spans="1:10" x14ac:dyDescent="0.2">
      <c r="A64" s="436"/>
      <c r="B64" s="10" t="s">
        <v>34</v>
      </c>
      <c r="C64" s="30">
        <v>0</v>
      </c>
      <c r="D64" s="35">
        <v>0</v>
      </c>
      <c r="E64" s="30">
        <v>0</v>
      </c>
      <c r="F64" s="35">
        <v>0</v>
      </c>
      <c r="G64" s="30">
        <v>0</v>
      </c>
      <c r="H64" s="31">
        <v>0</v>
      </c>
      <c r="I64" s="453"/>
      <c r="J64" s="284" t="s">
        <v>51</v>
      </c>
    </row>
    <row r="65" spans="1:10" x14ac:dyDescent="0.2">
      <c r="A65" s="436"/>
      <c r="B65" s="10" t="s">
        <v>35</v>
      </c>
      <c r="C65">
        <v>0</v>
      </c>
      <c r="D65" s="36">
        <v>0</v>
      </c>
      <c r="E65">
        <v>0</v>
      </c>
      <c r="F65" s="36">
        <v>0</v>
      </c>
      <c r="G65">
        <v>0</v>
      </c>
      <c r="H65" s="2">
        <v>0</v>
      </c>
      <c r="I65" s="453"/>
      <c r="J65" s="284" t="s">
        <v>49</v>
      </c>
    </row>
    <row r="66" spans="1:10" x14ac:dyDescent="0.2">
      <c r="A66" s="436"/>
      <c r="B66" s="10" t="s">
        <v>36</v>
      </c>
      <c r="C66" s="30">
        <v>0</v>
      </c>
      <c r="D66" s="35">
        <v>0</v>
      </c>
      <c r="E66" s="30">
        <v>0</v>
      </c>
      <c r="F66" s="35">
        <v>0</v>
      </c>
      <c r="G66" s="30">
        <v>0</v>
      </c>
      <c r="H66" s="31">
        <v>0</v>
      </c>
      <c r="I66" s="453"/>
      <c r="J66" s="284" t="s">
        <v>50</v>
      </c>
    </row>
    <row r="67" spans="1:10" x14ac:dyDescent="0.2">
      <c r="A67" s="436"/>
      <c r="B67" s="10" t="s">
        <v>37</v>
      </c>
      <c r="C67">
        <v>0</v>
      </c>
      <c r="D67" s="36">
        <v>0</v>
      </c>
      <c r="E67">
        <v>0</v>
      </c>
      <c r="F67" s="36">
        <v>0</v>
      </c>
      <c r="G67">
        <v>0</v>
      </c>
      <c r="H67" s="2">
        <v>0</v>
      </c>
      <c r="I67" s="453"/>
      <c r="J67" s="286" t="s">
        <v>55</v>
      </c>
    </row>
    <row r="68" spans="1:10" x14ac:dyDescent="0.2">
      <c r="A68" s="436"/>
      <c r="B68" s="10" t="s">
        <v>38</v>
      </c>
      <c r="C68" s="30">
        <v>0</v>
      </c>
      <c r="D68" s="35">
        <v>0</v>
      </c>
      <c r="E68" s="30">
        <v>0</v>
      </c>
      <c r="F68" s="35">
        <v>0</v>
      </c>
      <c r="G68" s="30">
        <v>0</v>
      </c>
      <c r="H68" s="31">
        <v>0</v>
      </c>
      <c r="I68" s="453"/>
      <c r="J68" s="283" t="s">
        <v>47</v>
      </c>
    </row>
    <row r="69" spans="1:10" x14ac:dyDescent="0.2">
      <c r="A69" s="40"/>
      <c r="B69" s="10" t="s">
        <v>39</v>
      </c>
      <c r="C69">
        <v>0</v>
      </c>
      <c r="D69" s="36">
        <v>0</v>
      </c>
      <c r="E69">
        <v>0</v>
      </c>
      <c r="F69" s="36">
        <v>0</v>
      </c>
      <c r="G69">
        <v>0</v>
      </c>
      <c r="H69" s="2">
        <v>0</v>
      </c>
      <c r="I69" s="453"/>
      <c r="J69" s="284" t="s">
        <v>48</v>
      </c>
    </row>
    <row r="70" spans="1:10" ht="16" thickBot="1" x14ac:dyDescent="0.25">
      <c r="A70" s="40"/>
      <c r="B70" s="11" t="s">
        <v>40</v>
      </c>
      <c r="C70" s="32">
        <v>0</v>
      </c>
      <c r="D70" s="37">
        <v>0</v>
      </c>
      <c r="E70" s="32">
        <v>0</v>
      </c>
      <c r="F70" s="37">
        <v>0</v>
      </c>
      <c r="G70" s="32">
        <v>0</v>
      </c>
      <c r="H70" s="33">
        <v>0</v>
      </c>
      <c r="I70" s="453"/>
      <c r="J70" s="284" t="s">
        <v>49</v>
      </c>
    </row>
    <row r="71" spans="1:10" x14ac:dyDescent="0.2">
      <c r="A71" s="40"/>
      <c r="B71" s="38"/>
      <c r="C71" s="38"/>
      <c r="D71" s="38"/>
      <c r="E71" s="38"/>
      <c r="F71" s="38"/>
      <c r="G71" s="38"/>
      <c r="H71" s="41"/>
      <c r="I71" s="453"/>
      <c r="J71" s="285" t="s">
        <v>50</v>
      </c>
    </row>
    <row r="72" spans="1:10" x14ac:dyDescent="0.2">
      <c r="A72" s="40"/>
      <c r="B72" s="38"/>
      <c r="C72" s="38"/>
      <c r="D72" s="38"/>
      <c r="E72" s="38"/>
      <c r="F72" s="38"/>
      <c r="G72" s="38"/>
      <c r="H72" s="41"/>
      <c r="I72" s="453"/>
      <c r="J72" s="284" t="s">
        <v>51</v>
      </c>
    </row>
    <row r="73" spans="1:10" x14ac:dyDescent="0.2">
      <c r="A73" s="40"/>
      <c r="B73" s="38"/>
      <c r="C73" s="38"/>
      <c r="D73" s="38"/>
      <c r="E73" s="38"/>
      <c r="F73" s="38"/>
      <c r="G73" s="38"/>
      <c r="H73" s="41"/>
      <c r="I73" s="453"/>
      <c r="J73" s="284" t="s">
        <v>49</v>
      </c>
    </row>
    <row r="74" spans="1:10" ht="16" thickBot="1" x14ac:dyDescent="0.25">
      <c r="A74" s="42"/>
      <c r="B74" s="43"/>
      <c r="C74" s="43"/>
      <c r="D74" s="43"/>
      <c r="E74" s="43"/>
      <c r="F74" s="43"/>
      <c r="G74" s="43"/>
      <c r="H74" s="44"/>
      <c r="I74" s="454"/>
      <c r="J74" s="287" t="s">
        <v>50</v>
      </c>
    </row>
  </sheetData>
  <mergeCells count="33">
    <mergeCell ref="I43:I74"/>
    <mergeCell ref="C44:F44"/>
    <mergeCell ref="C50:H50"/>
    <mergeCell ref="C53:H53"/>
    <mergeCell ref="B59:H59"/>
    <mergeCell ref="C14:H14"/>
    <mergeCell ref="C17:H17"/>
    <mergeCell ref="C20:H20"/>
    <mergeCell ref="B23:H23"/>
    <mergeCell ref="C49:D49"/>
    <mergeCell ref="B39:B58"/>
    <mergeCell ref="C39:H39"/>
    <mergeCell ref="C40:D40"/>
    <mergeCell ref="G40:H40"/>
    <mergeCell ref="E45:F45"/>
    <mergeCell ref="E40:F40"/>
    <mergeCell ref="G44:H45"/>
    <mergeCell ref="G1:I1"/>
    <mergeCell ref="A2:J2"/>
    <mergeCell ref="A3:A68"/>
    <mergeCell ref="B3:B22"/>
    <mergeCell ref="C3:H3"/>
    <mergeCell ref="I3:I42"/>
    <mergeCell ref="C4:D4"/>
    <mergeCell ref="E4:F4"/>
    <mergeCell ref="G4:H4"/>
    <mergeCell ref="C8:F8"/>
    <mergeCell ref="G8:H9"/>
    <mergeCell ref="C9:D9"/>
    <mergeCell ref="C56:H56"/>
    <mergeCell ref="E9:F9"/>
    <mergeCell ref="C13:D13"/>
    <mergeCell ref="C45:D45"/>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A34B2-4AC1-4F39-9177-DEAEFF3BCDE6}">
  <sheetPr codeName="Sheet38">
    <tabColor theme="5"/>
  </sheetPr>
  <dimension ref="A1:T74"/>
  <sheetViews>
    <sheetView workbookViewId="0"/>
  </sheetViews>
  <sheetFormatPr baseColWidth="10" defaultColWidth="8.83203125" defaultRowHeight="15" x14ac:dyDescent="0.2"/>
  <sheetData>
    <row r="1" spans="1:20" ht="16" thickBot="1" x14ac:dyDescent="0.25">
      <c r="A1" s="180"/>
      <c r="B1" s="142"/>
      <c r="C1" s="142"/>
      <c r="D1" s="142"/>
      <c r="E1" s="142"/>
      <c r="F1" s="142"/>
      <c r="G1" s="513" t="s">
        <v>375</v>
      </c>
      <c r="H1" s="513"/>
      <c r="I1" s="513"/>
      <c r="J1" s="145">
        <v>8</v>
      </c>
      <c r="K1" s="144" t="s">
        <v>390</v>
      </c>
      <c r="L1" s="144">
        <v>2023</v>
      </c>
      <c r="M1" s="144"/>
      <c r="N1" s="144"/>
      <c r="O1" s="144"/>
      <c r="P1" s="144"/>
      <c r="Q1" s="142"/>
      <c r="R1" s="142"/>
      <c r="S1" s="142"/>
      <c r="T1" s="143"/>
    </row>
    <row r="2" spans="1:20" ht="16" thickBot="1" x14ac:dyDescent="0.25">
      <c r="A2" s="412" t="s">
        <v>13</v>
      </c>
      <c r="B2" s="413"/>
      <c r="C2" s="413"/>
      <c r="D2" s="413"/>
      <c r="E2" s="413"/>
      <c r="F2" s="413"/>
      <c r="G2" s="413"/>
      <c r="H2" s="413"/>
      <c r="I2" s="413"/>
      <c r="J2" s="413"/>
      <c r="K2" s="413"/>
      <c r="L2" s="413"/>
      <c r="M2" s="413"/>
      <c r="N2" s="413"/>
      <c r="O2" s="413"/>
      <c r="P2" s="413"/>
      <c r="Q2" s="413"/>
      <c r="R2" s="413"/>
      <c r="S2" s="413"/>
      <c r="T2" s="444"/>
    </row>
    <row r="3" spans="1:20" x14ac:dyDescent="0.2">
      <c r="A3" s="538"/>
      <c r="B3" s="539" t="s">
        <v>58</v>
      </c>
      <c r="C3" s="426" t="s">
        <v>376</v>
      </c>
      <c r="D3" s="424"/>
      <c r="E3" s="424"/>
      <c r="F3" s="424"/>
      <c r="G3" s="424"/>
      <c r="H3" s="425"/>
      <c r="I3" s="452" t="s">
        <v>59</v>
      </c>
      <c r="J3" s="426" t="s">
        <v>46</v>
      </c>
      <c r="K3" s="424"/>
      <c r="L3" s="424"/>
      <c r="M3" s="424"/>
      <c r="N3" s="424"/>
      <c r="O3" s="424"/>
      <c r="P3" s="424"/>
      <c r="Q3" s="424"/>
      <c r="R3" s="424"/>
      <c r="S3" s="424"/>
      <c r="T3" s="425"/>
    </row>
    <row r="4" spans="1:20" x14ac:dyDescent="0.2">
      <c r="A4" s="436"/>
      <c r="B4" s="540"/>
      <c r="C4" s="518" t="s">
        <v>8</v>
      </c>
      <c r="D4" s="519"/>
      <c r="E4" s="519" t="s">
        <v>9</v>
      </c>
      <c r="F4" s="519"/>
      <c r="G4" s="519" t="s">
        <v>10</v>
      </c>
      <c r="H4" s="534"/>
      <c r="I4" s="453"/>
      <c r="J4" s="9" t="s">
        <v>47</v>
      </c>
      <c r="T4" s="2"/>
    </row>
    <row r="5" spans="1:20" x14ac:dyDescent="0.2">
      <c r="A5" s="436"/>
      <c r="B5" s="540"/>
      <c r="C5" s="9" t="s">
        <v>5</v>
      </c>
      <c r="D5" s="165">
        <v>79.75</v>
      </c>
      <c r="E5" s="12" t="s">
        <v>263</v>
      </c>
      <c r="F5" s="165">
        <v>173</v>
      </c>
      <c r="G5" s="12" t="s">
        <v>5</v>
      </c>
      <c r="H5" s="164">
        <v>22.25</v>
      </c>
      <c r="I5" s="453"/>
      <c r="J5" s="10" t="s">
        <v>48</v>
      </c>
      <c r="K5" s="30"/>
      <c r="L5" s="30"/>
      <c r="M5" s="30"/>
      <c r="N5" s="30"/>
      <c r="O5" s="30"/>
      <c r="P5" s="30"/>
      <c r="Q5" s="30"/>
      <c r="R5" s="30"/>
      <c r="S5" s="30"/>
      <c r="T5" s="31"/>
    </row>
    <row r="6" spans="1:20" x14ac:dyDescent="0.2">
      <c r="A6" s="436"/>
      <c r="B6" s="540"/>
      <c r="C6" s="10" t="s">
        <v>6</v>
      </c>
      <c r="D6" s="30">
        <v>0</v>
      </c>
      <c r="E6" s="13" t="s">
        <v>5</v>
      </c>
      <c r="F6" s="30">
        <v>101</v>
      </c>
      <c r="G6" s="13" t="s">
        <v>6</v>
      </c>
      <c r="H6" s="31">
        <v>0</v>
      </c>
      <c r="I6" s="453"/>
      <c r="J6" s="10" t="s">
        <v>49</v>
      </c>
      <c r="T6" s="2"/>
    </row>
    <row r="7" spans="1:20" ht="16" thickBot="1" x14ac:dyDescent="0.25">
      <c r="A7" s="436"/>
      <c r="B7" s="540"/>
      <c r="C7" s="11" t="s">
        <v>7</v>
      </c>
      <c r="D7" s="4" t="s">
        <v>197</v>
      </c>
      <c r="E7" s="14" t="s">
        <v>7</v>
      </c>
      <c r="F7" s="4">
        <v>72</v>
      </c>
      <c r="G7" s="14" t="s">
        <v>7</v>
      </c>
      <c r="H7" s="5">
        <v>0</v>
      </c>
      <c r="I7" s="453"/>
      <c r="J7" s="98" t="s">
        <v>50</v>
      </c>
      <c r="K7" s="99"/>
      <c r="L7" s="99"/>
      <c r="M7" s="99"/>
      <c r="N7" s="99"/>
      <c r="O7" s="99"/>
      <c r="P7" s="99"/>
      <c r="Q7" s="99"/>
      <c r="R7" s="99"/>
      <c r="S7" s="99"/>
      <c r="T7" s="100"/>
    </row>
    <row r="8" spans="1:20" x14ac:dyDescent="0.2">
      <c r="A8" s="436"/>
      <c r="B8" s="540"/>
      <c r="C8" s="426" t="s">
        <v>12</v>
      </c>
      <c r="D8" s="424"/>
      <c r="E8" s="424"/>
      <c r="F8" s="424"/>
      <c r="G8" s="522" t="s">
        <v>2</v>
      </c>
      <c r="H8" s="323"/>
      <c r="I8" s="453"/>
      <c r="J8" s="10" t="s">
        <v>51</v>
      </c>
      <c r="T8" s="2"/>
    </row>
    <row r="9" spans="1:20" x14ac:dyDescent="0.2">
      <c r="A9" s="436"/>
      <c r="B9" s="540"/>
      <c r="C9" s="518" t="s">
        <v>8</v>
      </c>
      <c r="D9" s="519"/>
      <c r="E9" s="519" t="s">
        <v>10</v>
      </c>
      <c r="F9" s="519"/>
      <c r="G9" s="536"/>
      <c r="H9" s="537"/>
      <c r="I9" s="453"/>
      <c r="J9" s="10" t="s">
        <v>49</v>
      </c>
      <c r="K9" s="30"/>
      <c r="L9" s="30"/>
      <c r="M9" s="30"/>
      <c r="N9" s="30"/>
      <c r="O9" s="30"/>
      <c r="P9" s="30"/>
      <c r="Q9" s="30"/>
      <c r="R9" s="30"/>
      <c r="S9" s="30"/>
      <c r="T9" s="31"/>
    </row>
    <row r="10" spans="1:20" x14ac:dyDescent="0.2">
      <c r="A10" s="436"/>
      <c r="B10" s="540"/>
      <c r="C10" s="10" t="s">
        <v>5</v>
      </c>
      <c r="D10">
        <v>37</v>
      </c>
      <c r="E10" s="13" t="s">
        <v>5</v>
      </c>
      <c r="F10">
        <v>17.75</v>
      </c>
      <c r="G10" s="10" t="s">
        <v>18</v>
      </c>
      <c r="H10" s="31">
        <v>4.625</v>
      </c>
      <c r="I10" s="453"/>
      <c r="J10" s="10" t="s">
        <v>50</v>
      </c>
      <c r="T10" s="2"/>
    </row>
    <row r="11" spans="1:20" x14ac:dyDescent="0.2">
      <c r="A11" s="436"/>
      <c r="B11" s="540"/>
      <c r="C11" s="10" t="s">
        <v>6</v>
      </c>
      <c r="D11" s="30">
        <v>19.75</v>
      </c>
      <c r="E11" s="13" t="s">
        <v>6</v>
      </c>
      <c r="F11" s="30">
        <v>0.5</v>
      </c>
      <c r="G11" s="10" t="s">
        <v>354</v>
      </c>
      <c r="H11" s="2">
        <v>12.75</v>
      </c>
      <c r="I11" s="453"/>
      <c r="J11" s="455" t="s">
        <v>52</v>
      </c>
      <c r="K11" s="456"/>
      <c r="L11" s="456"/>
      <c r="M11" s="456"/>
      <c r="N11" s="456"/>
      <c r="O11" s="456"/>
      <c r="P11" s="456"/>
      <c r="Q11" s="456"/>
      <c r="R11" s="456"/>
      <c r="S11" s="456"/>
      <c r="T11" s="457"/>
    </row>
    <row r="12" spans="1:20" ht="16" thickBot="1" x14ac:dyDescent="0.25">
      <c r="A12" s="436"/>
      <c r="B12" s="540"/>
      <c r="C12" s="11" t="s">
        <v>7</v>
      </c>
      <c r="D12" s="4">
        <v>2.5</v>
      </c>
      <c r="E12" s="14" t="s">
        <v>7</v>
      </c>
      <c r="F12" s="4">
        <v>0.5</v>
      </c>
      <c r="G12" s="11" t="s">
        <v>353</v>
      </c>
      <c r="H12" s="33">
        <v>3</v>
      </c>
      <c r="I12" s="453"/>
      <c r="J12" s="9" t="s">
        <v>47</v>
      </c>
      <c r="T12" s="2"/>
    </row>
    <row r="13" spans="1:20" ht="16" thickBot="1" x14ac:dyDescent="0.25">
      <c r="A13" s="436"/>
      <c r="B13" s="540"/>
      <c r="C13" s="520" t="s">
        <v>0</v>
      </c>
      <c r="D13" s="521"/>
      <c r="E13" s="139" t="s">
        <v>267</v>
      </c>
      <c r="F13" s="135">
        <v>11</v>
      </c>
      <c r="G13" s="139" t="s">
        <v>268</v>
      </c>
      <c r="H13" s="134">
        <v>6.25</v>
      </c>
      <c r="I13" s="453"/>
      <c r="J13" s="10" t="s">
        <v>48</v>
      </c>
      <c r="K13" s="30"/>
      <c r="L13" s="30"/>
      <c r="M13" s="30"/>
      <c r="N13" s="30"/>
      <c r="O13" s="30"/>
      <c r="P13" s="30"/>
      <c r="Q13" s="30"/>
      <c r="R13" s="30"/>
      <c r="S13" s="30"/>
      <c r="T13" s="31"/>
    </row>
    <row r="14" spans="1:20" x14ac:dyDescent="0.2">
      <c r="A14" s="436"/>
      <c r="B14" s="540"/>
      <c r="C14" s="522" t="s">
        <v>262</v>
      </c>
      <c r="D14" s="322"/>
      <c r="E14" s="322"/>
      <c r="F14" s="322"/>
      <c r="G14" s="322"/>
      <c r="H14" s="323"/>
      <c r="I14" s="453"/>
      <c r="J14" s="10" t="s">
        <v>49</v>
      </c>
      <c r="T14" s="2"/>
    </row>
    <row r="15" spans="1:20" x14ac:dyDescent="0.2">
      <c r="A15" s="436"/>
      <c r="B15" s="540"/>
      <c r="C15" s="136" t="s">
        <v>263</v>
      </c>
      <c r="D15" s="137" t="s">
        <v>132</v>
      </c>
      <c r="E15" s="137" t="s">
        <v>264</v>
      </c>
      <c r="F15" s="137" t="s">
        <v>22</v>
      </c>
      <c r="G15" s="137" t="s">
        <v>259</v>
      </c>
      <c r="H15" s="138" t="s">
        <v>97</v>
      </c>
      <c r="I15" s="453"/>
      <c r="J15" s="98" t="s">
        <v>50</v>
      </c>
      <c r="K15" s="99"/>
      <c r="L15" s="99"/>
      <c r="M15" s="99"/>
      <c r="N15" s="99"/>
      <c r="O15" s="99"/>
      <c r="P15" s="99"/>
      <c r="Q15" s="99"/>
      <c r="R15" s="99"/>
      <c r="S15" s="99"/>
      <c r="T15" s="100"/>
    </row>
    <row r="16" spans="1:20" ht="16" thickBot="1" x14ac:dyDescent="0.25">
      <c r="A16" s="436"/>
      <c r="B16" s="540"/>
      <c r="C16" s="1">
        <v>16</v>
      </c>
      <c r="D16" s="30">
        <v>2.75</v>
      </c>
      <c r="E16">
        <v>0</v>
      </c>
      <c r="F16" s="30">
        <v>0</v>
      </c>
      <c r="G16">
        <v>1.75</v>
      </c>
      <c r="H16" s="31">
        <v>7.5</v>
      </c>
      <c r="I16" s="453"/>
      <c r="J16" s="10" t="s">
        <v>51</v>
      </c>
      <c r="T16" s="2"/>
    </row>
    <row r="17" spans="1:20" x14ac:dyDescent="0.2">
      <c r="A17" s="436"/>
      <c r="B17" s="540"/>
      <c r="C17" s="522" t="s">
        <v>265</v>
      </c>
      <c r="D17" s="322"/>
      <c r="E17" s="322"/>
      <c r="F17" s="322"/>
      <c r="G17" s="322"/>
      <c r="H17" s="323"/>
      <c r="I17" s="453"/>
      <c r="J17" s="10" t="s">
        <v>49</v>
      </c>
      <c r="K17" s="30"/>
      <c r="L17" s="30"/>
      <c r="M17" s="30"/>
      <c r="N17" s="30"/>
      <c r="O17" s="30"/>
      <c r="P17" s="30"/>
      <c r="Q17" s="30"/>
      <c r="R17" s="30"/>
      <c r="S17" s="30"/>
      <c r="T17" s="31"/>
    </row>
    <row r="18" spans="1:20" x14ac:dyDescent="0.2">
      <c r="A18" s="436"/>
      <c r="B18" s="540"/>
      <c r="C18" s="136" t="s">
        <v>263</v>
      </c>
      <c r="D18" s="137" t="s">
        <v>132</v>
      </c>
      <c r="E18" s="137" t="s">
        <v>264</v>
      </c>
      <c r="F18" s="137" t="s">
        <v>22</v>
      </c>
      <c r="G18" s="137" t="s">
        <v>259</v>
      </c>
      <c r="H18" s="138" t="s">
        <v>97</v>
      </c>
      <c r="I18" s="453"/>
      <c r="J18" s="10" t="s">
        <v>50</v>
      </c>
      <c r="T18" s="2"/>
    </row>
    <row r="19" spans="1:20" ht="16" thickBot="1" x14ac:dyDescent="0.25">
      <c r="A19" s="436"/>
      <c r="B19" s="540"/>
      <c r="C19" s="160">
        <v>173</v>
      </c>
      <c r="D19" s="30">
        <v>28.25</v>
      </c>
      <c r="E19">
        <v>0</v>
      </c>
      <c r="F19" s="30">
        <v>0</v>
      </c>
      <c r="G19">
        <v>18.5</v>
      </c>
      <c r="H19" s="31">
        <v>83</v>
      </c>
      <c r="I19" s="453"/>
      <c r="J19" s="455" t="s">
        <v>53</v>
      </c>
      <c r="K19" s="456"/>
      <c r="L19" s="456"/>
      <c r="M19" s="456"/>
      <c r="N19" s="456"/>
      <c r="O19" s="456"/>
      <c r="P19" s="456"/>
      <c r="Q19" s="456"/>
      <c r="R19" s="456"/>
      <c r="S19" s="456"/>
      <c r="T19" s="457"/>
    </row>
    <row r="20" spans="1:20" x14ac:dyDescent="0.2">
      <c r="A20" s="436"/>
      <c r="B20" s="540"/>
      <c r="C20" s="426" t="s">
        <v>1</v>
      </c>
      <c r="D20" s="424"/>
      <c r="E20" s="424"/>
      <c r="F20" s="424"/>
      <c r="G20" s="424"/>
      <c r="H20" s="425"/>
      <c r="I20" s="453"/>
      <c r="J20" s="9" t="s">
        <v>47</v>
      </c>
      <c r="T20" s="2"/>
    </row>
    <row r="21" spans="1:20" x14ac:dyDescent="0.2">
      <c r="A21" s="436"/>
      <c r="B21" s="540"/>
      <c r="C21" s="136" t="s">
        <v>266</v>
      </c>
      <c r="D21" s="137" t="s">
        <v>45</v>
      </c>
      <c r="E21" s="137" t="s">
        <v>15</v>
      </c>
      <c r="F21" s="137" t="s">
        <v>14</v>
      </c>
      <c r="G21" s="137" t="s">
        <v>42</v>
      </c>
      <c r="H21" s="138" t="s">
        <v>44</v>
      </c>
      <c r="I21" s="453"/>
      <c r="J21" s="10" t="s">
        <v>48</v>
      </c>
      <c r="K21" s="30"/>
      <c r="L21" s="30"/>
      <c r="M21" s="30"/>
      <c r="N21" s="30"/>
      <c r="O21" s="30"/>
      <c r="P21" s="30"/>
      <c r="Q21" s="30"/>
      <c r="R21" s="30"/>
      <c r="S21" s="30"/>
      <c r="T21" s="31"/>
    </row>
    <row r="22" spans="1:20" ht="16" thickBot="1" x14ac:dyDescent="0.25">
      <c r="A22" s="436"/>
      <c r="B22" s="541"/>
      <c r="C22" s="3">
        <v>0</v>
      </c>
      <c r="D22" s="32">
        <v>4.25</v>
      </c>
      <c r="E22" s="4">
        <v>3.25</v>
      </c>
      <c r="F22" s="32">
        <v>2.75</v>
      </c>
      <c r="G22" s="4">
        <v>0.25</v>
      </c>
      <c r="H22" s="33">
        <v>1.25</v>
      </c>
      <c r="I22" s="453"/>
      <c r="J22" s="10" t="s">
        <v>49</v>
      </c>
      <c r="T22" s="2"/>
    </row>
    <row r="23" spans="1:20" x14ac:dyDescent="0.2">
      <c r="A23" s="436"/>
      <c r="B23" s="426" t="s">
        <v>23</v>
      </c>
      <c r="C23" s="424"/>
      <c r="D23" s="424"/>
      <c r="E23" s="424"/>
      <c r="F23" s="424"/>
      <c r="G23" s="424"/>
      <c r="H23" s="425"/>
      <c r="I23" s="453"/>
      <c r="J23" s="98" t="s">
        <v>50</v>
      </c>
      <c r="K23" s="99"/>
      <c r="L23" s="99"/>
      <c r="M23" s="99"/>
      <c r="N23" s="99"/>
      <c r="O23" s="99"/>
      <c r="P23" s="99"/>
      <c r="Q23" s="99"/>
      <c r="R23" s="99"/>
      <c r="S23" s="99"/>
      <c r="T23" s="100"/>
    </row>
    <row r="24" spans="1:20" x14ac:dyDescent="0.2">
      <c r="A24" s="436"/>
      <c r="B24" s="136" t="s">
        <v>24</v>
      </c>
      <c r="C24" s="137" t="s">
        <v>25</v>
      </c>
      <c r="D24" s="137" t="s">
        <v>28</v>
      </c>
      <c r="E24" s="137" t="s">
        <v>26</v>
      </c>
      <c r="F24" s="137" t="s">
        <v>30</v>
      </c>
      <c r="G24" s="137" t="s">
        <v>27</v>
      </c>
      <c r="H24" s="138" t="s">
        <v>29</v>
      </c>
      <c r="I24" s="453"/>
      <c r="J24" s="10" t="s">
        <v>51</v>
      </c>
      <c r="T24" s="2"/>
    </row>
    <row r="25" spans="1:20" x14ac:dyDescent="0.2">
      <c r="A25" s="436"/>
      <c r="B25" s="9" t="s">
        <v>31</v>
      </c>
      <c r="C25">
        <v>5.75</v>
      </c>
      <c r="D25" s="34">
        <v>12.75</v>
      </c>
      <c r="E25">
        <v>0</v>
      </c>
      <c r="F25" s="34">
        <v>0</v>
      </c>
      <c r="G25">
        <v>0.25</v>
      </c>
      <c r="H25" s="2">
        <v>1</v>
      </c>
      <c r="I25" s="453"/>
      <c r="J25" s="10" t="s">
        <v>49</v>
      </c>
      <c r="K25" s="30"/>
      <c r="L25" s="30"/>
      <c r="M25" s="30"/>
      <c r="N25" s="30"/>
      <c r="O25" s="30"/>
      <c r="P25" s="30"/>
      <c r="Q25" s="30"/>
      <c r="R25" s="30"/>
      <c r="S25" s="30"/>
      <c r="T25" s="31"/>
    </row>
    <row r="26" spans="1:20" x14ac:dyDescent="0.2">
      <c r="A26" s="436"/>
      <c r="B26" s="10" t="s">
        <v>32</v>
      </c>
      <c r="C26" s="30">
        <v>11.5</v>
      </c>
      <c r="D26" s="35">
        <v>9.5</v>
      </c>
      <c r="E26" s="30">
        <v>0</v>
      </c>
      <c r="F26" s="35">
        <v>0</v>
      </c>
      <c r="G26" s="30">
        <v>0</v>
      </c>
      <c r="H26" s="31">
        <v>0</v>
      </c>
      <c r="I26" s="453"/>
      <c r="J26" s="10" t="s">
        <v>50</v>
      </c>
      <c r="T26" s="2"/>
    </row>
    <row r="27" spans="1:20" x14ac:dyDescent="0.2">
      <c r="A27" s="436"/>
      <c r="B27" s="10" t="s">
        <v>33</v>
      </c>
      <c r="C27">
        <v>0</v>
      </c>
      <c r="D27" s="36">
        <v>0</v>
      </c>
      <c r="E27">
        <v>0</v>
      </c>
      <c r="F27" s="36">
        <v>0</v>
      </c>
      <c r="G27">
        <v>0</v>
      </c>
      <c r="H27" s="2">
        <v>0</v>
      </c>
      <c r="I27" s="453"/>
      <c r="J27" s="455" t="s">
        <v>54</v>
      </c>
      <c r="K27" s="456"/>
      <c r="L27" s="456"/>
      <c r="M27" s="456"/>
      <c r="N27" s="456"/>
      <c r="O27" s="456"/>
      <c r="P27" s="456"/>
      <c r="Q27" s="456"/>
      <c r="R27" s="456"/>
      <c r="S27" s="456"/>
      <c r="T27" s="457"/>
    </row>
    <row r="28" spans="1:20" x14ac:dyDescent="0.2">
      <c r="A28" s="436"/>
      <c r="B28" s="10" t="s">
        <v>34</v>
      </c>
      <c r="C28" s="30">
        <v>0</v>
      </c>
      <c r="D28" s="35">
        <v>0</v>
      </c>
      <c r="E28" s="30">
        <v>0</v>
      </c>
      <c r="F28" s="35">
        <v>0</v>
      </c>
      <c r="G28" s="30">
        <v>0</v>
      </c>
      <c r="H28" s="31">
        <v>0</v>
      </c>
      <c r="I28" s="453"/>
      <c r="J28" s="9" t="s">
        <v>47</v>
      </c>
      <c r="T28" s="2"/>
    </row>
    <row r="29" spans="1:20" x14ac:dyDescent="0.2">
      <c r="A29" s="436"/>
      <c r="B29" s="10" t="s">
        <v>35</v>
      </c>
      <c r="C29">
        <v>0</v>
      </c>
      <c r="D29" s="36">
        <v>0</v>
      </c>
      <c r="E29">
        <v>0</v>
      </c>
      <c r="F29" s="36">
        <v>0</v>
      </c>
      <c r="G29">
        <v>0</v>
      </c>
      <c r="H29" s="2">
        <v>0</v>
      </c>
      <c r="I29" s="453"/>
      <c r="J29" s="10" t="s">
        <v>48</v>
      </c>
      <c r="K29" s="30"/>
      <c r="L29" s="30"/>
      <c r="M29" s="30"/>
      <c r="N29" s="30"/>
      <c r="O29" s="30"/>
      <c r="P29" s="30"/>
      <c r="Q29" s="30"/>
      <c r="R29" s="30"/>
      <c r="S29" s="30"/>
      <c r="T29" s="31"/>
    </row>
    <row r="30" spans="1:20" x14ac:dyDescent="0.2">
      <c r="A30" s="436"/>
      <c r="B30" s="10" t="s">
        <v>36</v>
      </c>
      <c r="C30" s="30">
        <v>0</v>
      </c>
      <c r="D30" s="35">
        <v>0</v>
      </c>
      <c r="E30" s="30">
        <v>0</v>
      </c>
      <c r="F30" s="35">
        <v>0</v>
      </c>
      <c r="G30" s="30">
        <v>0</v>
      </c>
      <c r="H30" s="31">
        <v>0</v>
      </c>
      <c r="I30" s="453"/>
      <c r="J30" s="10" t="s">
        <v>49</v>
      </c>
      <c r="T30" s="2"/>
    </row>
    <row r="31" spans="1:20" x14ac:dyDescent="0.2">
      <c r="A31" s="436"/>
      <c r="B31" s="10" t="s">
        <v>37</v>
      </c>
      <c r="C31">
        <v>0</v>
      </c>
      <c r="D31" s="36">
        <v>0</v>
      </c>
      <c r="E31">
        <v>0</v>
      </c>
      <c r="F31" s="36">
        <v>0</v>
      </c>
      <c r="G31">
        <v>0.25</v>
      </c>
      <c r="H31" s="2">
        <v>8</v>
      </c>
      <c r="I31" s="453"/>
      <c r="J31" s="98" t="s">
        <v>50</v>
      </c>
      <c r="K31" s="99"/>
      <c r="L31" s="99"/>
      <c r="M31" s="99"/>
      <c r="N31" s="99"/>
      <c r="O31" s="99"/>
      <c r="P31" s="99"/>
      <c r="Q31" s="99"/>
      <c r="R31" s="99"/>
      <c r="S31" s="99"/>
      <c r="T31" s="100"/>
    </row>
    <row r="32" spans="1:20" x14ac:dyDescent="0.2">
      <c r="A32" s="436"/>
      <c r="B32" s="10" t="s">
        <v>38</v>
      </c>
      <c r="C32" s="30">
        <v>0</v>
      </c>
      <c r="D32" s="35">
        <v>0</v>
      </c>
      <c r="E32" s="30">
        <v>0</v>
      </c>
      <c r="F32" s="35">
        <v>0</v>
      </c>
      <c r="G32" s="30">
        <v>0</v>
      </c>
      <c r="H32" s="31">
        <v>0</v>
      </c>
      <c r="I32" s="453"/>
      <c r="J32" s="10" t="s">
        <v>51</v>
      </c>
      <c r="T32" s="2"/>
    </row>
    <row r="33" spans="1:20" x14ac:dyDescent="0.2">
      <c r="A33" s="436"/>
      <c r="B33" s="10" t="s">
        <v>39</v>
      </c>
      <c r="C33">
        <v>0</v>
      </c>
      <c r="D33" s="36">
        <v>0</v>
      </c>
      <c r="E33">
        <v>0</v>
      </c>
      <c r="F33" s="36">
        <v>0</v>
      </c>
      <c r="G33">
        <v>0</v>
      </c>
      <c r="H33" s="2">
        <v>0</v>
      </c>
      <c r="I33" s="453"/>
      <c r="J33" s="10" t="s">
        <v>49</v>
      </c>
      <c r="K33" s="30"/>
      <c r="L33" s="30"/>
      <c r="M33" s="30"/>
      <c r="N33" s="30"/>
      <c r="O33" s="30"/>
      <c r="P33" s="30"/>
      <c r="Q33" s="30"/>
      <c r="R33" s="30"/>
      <c r="S33" s="30"/>
      <c r="T33" s="31"/>
    </row>
    <row r="34" spans="1:20" ht="16" thickBot="1" x14ac:dyDescent="0.25">
      <c r="A34" s="436"/>
      <c r="B34" s="11" t="s">
        <v>40</v>
      </c>
      <c r="C34" s="32">
        <v>0</v>
      </c>
      <c r="D34" s="37">
        <v>0</v>
      </c>
      <c r="E34" s="32">
        <v>0</v>
      </c>
      <c r="F34" s="37">
        <v>0</v>
      </c>
      <c r="G34" s="32">
        <v>0</v>
      </c>
      <c r="H34" s="33">
        <v>0</v>
      </c>
      <c r="I34" s="453"/>
      <c r="J34" s="10" t="s">
        <v>50</v>
      </c>
      <c r="T34" s="2"/>
    </row>
    <row r="35" spans="1:20" x14ac:dyDescent="0.2">
      <c r="A35" s="436"/>
      <c r="B35" s="183"/>
      <c r="C35" s="183"/>
      <c r="D35" s="183"/>
      <c r="E35" s="183"/>
      <c r="F35" s="183"/>
      <c r="G35" s="183"/>
      <c r="H35" s="39"/>
      <c r="I35" s="453"/>
      <c r="J35" s="455" t="s">
        <v>55</v>
      </c>
      <c r="K35" s="456"/>
      <c r="L35" s="456"/>
      <c r="M35" s="456"/>
      <c r="N35" s="456"/>
      <c r="O35" s="456"/>
      <c r="P35" s="456"/>
      <c r="Q35" s="456"/>
      <c r="R35" s="456"/>
      <c r="S35" s="456"/>
      <c r="T35" s="457"/>
    </row>
    <row r="36" spans="1:20" x14ac:dyDescent="0.2">
      <c r="A36" s="436"/>
      <c r="B36" s="183"/>
      <c r="C36" s="183"/>
      <c r="D36" s="183"/>
      <c r="E36" s="183"/>
      <c r="F36" s="183"/>
      <c r="G36" s="183"/>
      <c r="H36" s="39"/>
      <c r="I36" s="453"/>
      <c r="J36" s="9" t="s">
        <v>47</v>
      </c>
      <c r="T36" s="2"/>
    </row>
    <row r="37" spans="1:20" x14ac:dyDescent="0.2">
      <c r="A37" s="436"/>
      <c r="B37" s="183"/>
      <c r="C37" s="183"/>
      <c r="D37" s="183"/>
      <c r="E37" s="183"/>
      <c r="F37" s="183"/>
      <c r="G37" s="183"/>
      <c r="H37" s="39"/>
      <c r="I37" s="453"/>
      <c r="J37" s="10" t="s">
        <v>48</v>
      </c>
      <c r="K37" s="30"/>
      <c r="L37" s="30"/>
      <c r="M37" s="30"/>
      <c r="N37" s="30"/>
      <c r="O37" s="30"/>
      <c r="P37" s="30"/>
      <c r="Q37" s="30"/>
      <c r="R37" s="30"/>
      <c r="S37" s="30"/>
      <c r="T37" s="31"/>
    </row>
    <row r="38" spans="1:20" ht="16" thickBot="1" x14ac:dyDescent="0.25">
      <c r="A38" s="436"/>
      <c r="B38" s="54"/>
      <c r="C38" s="54"/>
      <c r="D38" s="54"/>
      <c r="E38" s="54"/>
      <c r="F38" s="54"/>
      <c r="G38" s="54"/>
      <c r="H38" s="55"/>
      <c r="I38" s="453"/>
      <c r="J38" s="10" t="s">
        <v>49</v>
      </c>
      <c r="T38" s="2"/>
    </row>
    <row r="39" spans="1:20" x14ac:dyDescent="0.2">
      <c r="A39" s="436"/>
      <c r="B39" s="539" t="s">
        <v>349</v>
      </c>
      <c r="C39" s="426" t="s">
        <v>376</v>
      </c>
      <c r="D39" s="424"/>
      <c r="E39" s="424"/>
      <c r="F39" s="424"/>
      <c r="G39" s="424"/>
      <c r="H39" s="425"/>
      <c r="I39" s="453"/>
      <c r="J39" s="98" t="s">
        <v>50</v>
      </c>
      <c r="K39" s="99"/>
      <c r="L39" s="99"/>
      <c r="M39" s="99"/>
      <c r="N39" s="99"/>
      <c r="O39" s="99"/>
      <c r="P39" s="99"/>
      <c r="Q39" s="99"/>
      <c r="R39" s="99"/>
      <c r="S39" s="99"/>
      <c r="T39" s="100"/>
    </row>
    <row r="40" spans="1:20" x14ac:dyDescent="0.2">
      <c r="A40" s="436"/>
      <c r="B40" s="540"/>
      <c r="C40" s="518" t="s">
        <v>8</v>
      </c>
      <c r="D40" s="519"/>
      <c r="E40" s="519" t="s">
        <v>9</v>
      </c>
      <c r="F40" s="519"/>
      <c r="G40" s="519" t="s">
        <v>10</v>
      </c>
      <c r="H40" s="534"/>
      <c r="I40" s="453"/>
      <c r="J40" s="10" t="s">
        <v>51</v>
      </c>
      <c r="T40" s="2"/>
    </row>
    <row r="41" spans="1:20" x14ac:dyDescent="0.2">
      <c r="A41" s="436"/>
      <c r="B41" s="540"/>
      <c r="C41" s="9" t="s">
        <v>5</v>
      </c>
      <c r="D41" s="165">
        <v>319</v>
      </c>
      <c r="E41" s="12" t="s">
        <v>263</v>
      </c>
      <c r="F41" s="165">
        <v>173</v>
      </c>
      <c r="G41" s="12" t="s">
        <v>5</v>
      </c>
      <c r="H41" s="164">
        <v>89</v>
      </c>
      <c r="I41" s="453"/>
      <c r="J41" s="10" t="s">
        <v>49</v>
      </c>
      <c r="K41" s="30"/>
      <c r="L41" s="30"/>
      <c r="M41" s="30"/>
      <c r="N41" s="30"/>
      <c r="O41" s="30"/>
      <c r="P41" s="30"/>
      <c r="Q41" s="30"/>
      <c r="R41" s="30"/>
      <c r="S41" s="30"/>
      <c r="T41" s="31"/>
    </row>
    <row r="42" spans="1:20" ht="16" thickBot="1" x14ac:dyDescent="0.25">
      <c r="A42" s="436"/>
      <c r="B42" s="540"/>
      <c r="C42" s="10" t="s">
        <v>6</v>
      </c>
      <c r="D42" s="30">
        <v>0</v>
      </c>
      <c r="E42" s="13" t="s">
        <v>5</v>
      </c>
      <c r="F42" s="30">
        <v>101</v>
      </c>
      <c r="G42" s="13" t="s">
        <v>6</v>
      </c>
      <c r="H42" s="31">
        <v>0</v>
      </c>
      <c r="I42" s="454"/>
      <c r="J42" s="11" t="s">
        <v>50</v>
      </c>
      <c r="K42" s="4"/>
      <c r="L42" s="4"/>
      <c r="M42" s="4"/>
      <c r="N42" s="4"/>
      <c r="O42" s="4"/>
      <c r="P42" s="4"/>
      <c r="Q42" s="4"/>
      <c r="R42" s="4"/>
      <c r="S42" s="4"/>
      <c r="T42" s="5"/>
    </row>
    <row r="43" spans="1:20" ht="16" thickBot="1" x14ac:dyDescent="0.25">
      <c r="A43" s="436"/>
      <c r="B43" s="540"/>
      <c r="C43" s="11" t="s">
        <v>7</v>
      </c>
      <c r="D43" s="4" t="s">
        <v>197</v>
      </c>
      <c r="E43" s="14" t="s">
        <v>7</v>
      </c>
      <c r="F43" s="4">
        <v>72</v>
      </c>
      <c r="G43" s="14" t="s">
        <v>7</v>
      </c>
      <c r="H43" s="5">
        <v>0</v>
      </c>
      <c r="I43" s="452" t="s">
        <v>60</v>
      </c>
      <c r="J43" s="426" t="s">
        <v>56</v>
      </c>
      <c r="K43" s="424"/>
      <c r="L43" s="424"/>
      <c r="M43" s="424"/>
      <c r="N43" s="424"/>
      <c r="O43" s="424"/>
      <c r="P43" s="424"/>
      <c r="Q43" s="424"/>
      <c r="R43" s="424"/>
      <c r="S43" s="424"/>
      <c r="T43" s="425"/>
    </row>
    <row r="44" spans="1:20" x14ac:dyDescent="0.2">
      <c r="A44" s="436"/>
      <c r="B44" s="540"/>
      <c r="C44" s="426" t="s">
        <v>12</v>
      </c>
      <c r="D44" s="424"/>
      <c r="E44" s="424"/>
      <c r="F44" s="424"/>
      <c r="G44" s="522" t="s">
        <v>2</v>
      </c>
      <c r="H44" s="323"/>
      <c r="I44" s="453"/>
      <c r="J44" s="9" t="s">
        <v>47</v>
      </c>
      <c r="T44" s="2"/>
    </row>
    <row r="45" spans="1:20" x14ac:dyDescent="0.2">
      <c r="A45" s="436"/>
      <c r="B45" s="540"/>
      <c r="C45" s="518" t="s">
        <v>8</v>
      </c>
      <c r="D45" s="519"/>
      <c r="E45" s="519" t="s">
        <v>10</v>
      </c>
      <c r="F45" s="519"/>
      <c r="G45" s="536"/>
      <c r="H45" s="537"/>
      <c r="I45" s="453"/>
      <c r="J45" s="10" t="s">
        <v>48</v>
      </c>
      <c r="K45" s="30"/>
      <c r="L45" s="30"/>
      <c r="M45" s="30"/>
      <c r="N45" s="30"/>
      <c r="O45" s="30"/>
      <c r="P45" s="30"/>
      <c r="Q45" s="30"/>
      <c r="R45" s="30"/>
      <c r="S45" s="30"/>
      <c r="T45" s="31"/>
    </row>
    <row r="46" spans="1:20" x14ac:dyDescent="0.2">
      <c r="A46" s="436"/>
      <c r="B46" s="540"/>
      <c r="C46" s="10" t="s">
        <v>5</v>
      </c>
      <c r="D46">
        <v>148</v>
      </c>
      <c r="E46" s="13" t="s">
        <v>5</v>
      </c>
      <c r="F46">
        <v>71</v>
      </c>
      <c r="G46" s="10" t="s">
        <v>18</v>
      </c>
      <c r="H46" s="31">
        <v>18.5</v>
      </c>
      <c r="I46" s="453"/>
      <c r="J46" s="10" t="s">
        <v>49</v>
      </c>
      <c r="T46" s="2"/>
    </row>
    <row r="47" spans="1:20" x14ac:dyDescent="0.2">
      <c r="A47" s="436"/>
      <c r="B47" s="540"/>
      <c r="C47" s="10" t="s">
        <v>6</v>
      </c>
      <c r="D47" s="30">
        <v>79</v>
      </c>
      <c r="E47" s="13" t="s">
        <v>6</v>
      </c>
      <c r="F47" s="30">
        <v>2</v>
      </c>
      <c r="G47" s="10" t="s">
        <v>354</v>
      </c>
      <c r="H47" s="2">
        <v>51</v>
      </c>
      <c r="I47" s="453"/>
      <c r="J47" s="98" t="s">
        <v>50</v>
      </c>
      <c r="K47" s="99"/>
      <c r="L47" s="99"/>
      <c r="M47" s="99"/>
      <c r="N47" s="99"/>
      <c r="O47" s="99"/>
      <c r="P47" s="99"/>
      <c r="Q47" s="99"/>
      <c r="R47" s="99"/>
      <c r="S47" s="99"/>
      <c r="T47" s="100"/>
    </row>
    <row r="48" spans="1:20" ht="16" thickBot="1" x14ac:dyDescent="0.25">
      <c r="A48" s="436"/>
      <c r="B48" s="540"/>
      <c r="C48" s="11" t="s">
        <v>7</v>
      </c>
      <c r="D48" s="4">
        <v>10</v>
      </c>
      <c r="E48" s="14" t="s">
        <v>7</v>
      </c>
      <c r="F48" s="4">
        <v>2</v>
      </c>
      <c r="G48" s="11" t="s">
        <v>353</v>
      </c>
      <c r="H48" s="33">
        <v>12</v>
      </c>
      <c r="I48" s="453"/>
      <c r="J48" s="10" t="s">
        <v>51</v>
      </c>
      <c r="T48" s="2"/>
    </row>
    <row r="49" spans="1:20" ht="16" thickBot="1" x14ac:dyDescent="0.25">
      <c r="A49" s="436"/>
      <c r="B49" s="540"/>
      <c r="C49" s="520" t="s">
        <v>0</v>
      </c>
      <c r="D49" s="521"/>
      <c r="E49" s="139" t="s">
        <v>267</v>
      </c>
      <c r="F49" s="135">
        <v>44</v>
      </c>
      <c r="G49" s="139" t="s">
        <v>268</v>
      </c>
      <c r="H49" s="134">
        <v>25</v>
      </c>
      <c r="I49" s="453"/>
      <c r="J49" s="10" t="s">
        <v>49</v>
      </c>
      <c r="K49" s="30"/>
      <c r="L49" s="30"/>
      <c r="M49" s="30"/>
      <c r="N49" s="30"/>
      <c r="O49" s="30"/>
      <c r="P49" s="30"/>
      <c r="Q49" s="30"/>
      <c r="R49" s="30"/>
      <c r="S49" s="30"/>
      <c r="T49" s="31"/>
    </row>
    <row r="50" spans="1:20" x14ac:dyDescent="0.2">
      <c r="A50" s="436"/>
      <c r="B50" s="540"/>
      <c r="C50" s="522" t="s">
        <v>262</v>
      </c>
      <c r="D50" s="322"/>
      <c r="E50" s="322"/>
      <c r="F50" s="322"/>
      <c r="G50" s="322"/>
      <c r="H50" s="323"/>
      <c r="I50" s="453"/>
      <c r="J50" s="10" t="s">
        <v>50</v>
      </c>
      <c r="T50" s="2"/>
    </row>
    <row r="51" spans="1:20" x14ac:dyDescent="0.2">
      <c r="A51" s="436"/>
      <c r="B51" s="540"/>
      <c r="C51" s="136" t="s">
        <v>263</v>
      </c>
      <c r="D51" s="137" t="s">
        <v>132</v>
      </c>
      <c r="E51" s="137" t="s">
        <v>264</v>
      </c>
      <c r="F51" s="137" t="s">
        <v>22</v>
      </c>
      <c r="G51" s="137" t="s">
        <v>259</v>
      </c>
      <c r="H51" s="138" t="s">
        <v>97</v>
      </c>
      <c r="I51" s="453"/>
      <c r="J51" s="455" t="s">
        <v>57</v>
      </c>
      <c r="K51" s="456"/>
      <c r="L51" s="456"/>
      <c r="M51" s="456"/>
      <c r="N51" s="456"/>
      <c r="O51" s="456"/>
      <c r="P51" s="456"/>
      <c r="Q51" s="456"/>
      <c r="R51" s="456"/>
      <c r="S51" s="456"/>
      <c r="T51" s="457"/>
    </row>
    <row r="52" spans="1:20" ht="16" thickBot="1" x14ac:dyDescent="0.25">
      <c r="A52" s="436"/>
      <c r="B52" s="540"/>
      <c r="C52" s="1">
        <v>64</v>
      </c>
      <c r="D52" s="30">
        <v>11</v>
      </c>
      <c r="E52">
        <v>0</v>
      </c>
      <c r="F52" s="30">
        <v>0</v>
      </c>
      <c r="G52">
        <v>7</v>
      </c>
      <c r="H52" s="31">
        <v>30</v>
      </c>
      <c r="I52" s="453"/>
      <c r="J52" s="9" t="s">
        <v>47</v>
      </c>
      <c r="T52" s="2"/>
    </row>
    <row r="53" spans="1:20" x14ac:dyDescent="0.2">
      <c r="A53" s="436"/>
      <c r="B53" s="540"/>
      <c r="C53" s="522" t="s">
        <v>265</v>
      </c>
      <c r="D53" s="322"/>
      <c r="E53" s="322"/>
      <c r="F53" s="322"/>
      <c r="G53" s="322"/>
      <c r="H53" s="323"/>
      <c r="I53" s="453"/>
      <c r="J53" s="10" t="s">
        <v>48</v>
      </c>
      <c r="K53" s="30"/>
      <c r="L53" s="30"/>
      <c r="M53" s="30"/>
      <c r="N53" s="30"/>
      <c r="O53" s="30"/>
      <c r="P53" s="30"/>
      <c r="Q53" s="30"/>
      <c r="R53" s="30"/>
      <c r="S53" s="30"/>
      <c r="T53" s="31"/>
    </row>
    <row r="54" spans="1:20" x14ac:dyDescent="0.2">
      <c r="A54" s="436"/>
      <c r="B54" s="540"/>
      <c r="C54" s="136" t="s">
        <v>263</v>
      </c>
      <c r="D54" s="137" t="s">
        <v>132</v>
      </c>
      <c r="E54" s="137" t="s">
        <v>264</v>
      </c>
      <c r="F54" s="137" t="s">
        <v>22</v>
      </c>
      <c r="G54" s="137" t="s">
        <v>259</v>
      </c>
      <c r="H54" s="138" t="s">
        <v>97</v>
      </c>
      <c r="I54" s="453"/>
      <c r="J54" s="10" t="s">
        <v>49</v>
      </c>
      <c r="T54" s="2"/>
    </row>
    <row r="55" spans="1:20" ht="16" thickBot="1" x14ac:dyDescent="0.25">
      <c r="A55" s="436"/>
      <c r="B55" s="540"/>
      <c r="C55" s="160">
        <v>692</v>
      </c>
      <c r="D55" s="30">
        <v>113</v>
      </c>
      <c r="E55">
        <v>0</v>
      </c>
      <c r="F55" s="30">
        <v>0</v>
      </c>
      <c r="G55">
        <v>74</v>
      </c>
      <c r="H55" s="31">
        <v>332</v>
      </c>
      <c r="I55" s="453"/>
      <c r="J55" s="98" t="s">
        <v>50</v>
      </c>
      <c r="K55" s="99"/>
      <c r="L55" s="99"/>
      <c r="M55" s="99"/>
      <c r="N55" s="99"/>
      <c r="O55" s="99"/>
      <c r="P55" s="99"/>
      <c r="Q55" s="99"/>
      <c r="R55" s="99"/>
      <c r="S55" s="99"/>
      <c r="T55" s="100"/>
    </row>
    <row r="56" spans="1:20" x14ac:dyDescent="0.2">
      <c r="A56" s="436"/>
      <c r="B56" s="540"/>
      <c r="C56" s="426" t="s">
        <v>1</v>
      </c>
      <c r="D56" s="424"/>
      <c r="E56" s="424"/>
      <c r="F56" s="424"/>
      <c r="G56" s="424"/>
      <c r="H56" s="425"/>
      <c r="I56" s="453"/>
      <c r="J56" s="10" t="s">
        <v>51</v>
      </c>
      <c r="T56" s="2"/>
    </row>
    <row r="57" spans="1:20" x14ac:dyDescent="0.2">
      <c r="A57" s="436"/>
      <c r="B57" s="540"/>
      <c r="C57" s="136" t="s">
        <v>266</v>
      </c>
      <c r="D57" s="137" t="s">
        <v>45</v>
      </c>
      <c r="E57" s="137" t="s">
        <v>15</v>
      </c>
      <c r="F57" s="137" t="s">
        <v>14</v>
      </c>
      <c r="G57" s="137" t="s">
        <v>42</v>
      </c>
      <c r="H57" s="138" t="s">
        <v>44</v>
      </c>
      <c r="I57" s="453"/>
      <c r="J57" s="10" t="s">
        <v>49</v>
      </c>
      <c r="K57" s="30"/>
      <c r="L57" s="30"/>
      <c r="M57" s="30"/>
      <c r="N57" s="30"/>
      <c r="O57" s="30"/>
      <c r="P57" s="30"/>
      <c r="Q57" s="30"/>
      <c r="R57" s="30"/>
      <c r="S57" s="30"/>
      <c r="T57" s="31"/>
    </row>
    <row r="58" spans="1:20" ht="16" thickBot="1" x14ac:dyDescent="0.25">
      <c r="A58" s="436"/>
      <c r="B58" s="541"/>
      <c r="C58" s="3">
        <v>0</v>
      </c>
      <c r="D58" s="32">
        <v>17</v>
      </c>
      <c r="E58" s="4">
        <v>13</v>
      </c>
      <c r="F58" s="32">
        <v>11</v>
      </c>
      <c r="G58" s="4">
        <v>1</v>
      </c>
      <c r="H58" s="33">
        <v>5</v>
      </c>
      <c r="I58" s="453"/>
      <c r="J58" s="10" t="s">
        <v>50</v>
      </c>
      <c r="T58" s="2"/>
    </row>
    <row r="59" spans="1:20" x14ac:dyDescent="0.2">
      <c r="A59" s="436"/>
      <c r="B59" s="426" t="s">
        <v>23</v>
      </c>
      <c r="C59" s="424"/>
      <c r="D59" s="424"/>
      <c r="E59" s="424"/>
      <c r="F59" s="424"/>
      <c r="G59" s="424"/>
      <c r="H59" s="425"/>
      <c r="I59" s="453"/>
      <c r="J59" s="455" t="s">
        <v>54</v>
      </c>
      <c r="K59" s="456"/>
      <c r="L59" s="456"/>
      <c r="M59" s="456"/>
      <c r="N59" s="456"/>
      <c r="O59" s="456"/>
      <c r="P59" s="456"/>
      <c r="Q59" s="456"/>
      <c r="R59" s="456"/>
      <c r="S59" s="456"/>
      <c r="T59" s="457"/>
    </row>
    <row r="60" spans="1:20" x14ac:dyDescent="0.2">
      <c r="A60" s="436"/>
      <c r="B60" s="136" t="s">
        <v>24</v>
      </c>
      <c r="C60" s="137" t="s">
        <v>25</v>
      </c>
      <c r="D60" s="137" t="s">
        <v>28</v>
      </c>
      <c r="E60" s="137" t="s">
        <v>26</v>
      </c>
      <c r="F60" s="137" t="s">
        <v>30</v>
      </c>
      <c r="G60" s="137" t="s">
        <v>27</v>
      </c>
      <c r="H60" s="138" t="s">
        <v>29</v>
      </c>
      <c r="I60" s="453"/>
      <c r="J60" s="9" t="s">
        <v>47</v>
      </c>
      <c r="T60" s="2"/>
    </row>
    <row r="61" spans="1:20" x14ac:dyDescent="0.2">
      <c r="A61" s="436"/>
      <c r="B61" s="9" t="s">
        <v>31</v>
      </c>
      <c r="C61">
        <v>5.75</v>
      </c>
      <c r="D61" s="34">
        <v>12.75</v>
      </c>
      <c r="E61">
        <v>0</v>
      </c>
      <c r="F61" s="34">
        <v>0</v>
      </c>
      <c r="G61">
        <v>0.25</v>
      </c>
      <c r="H61" s="2">
        <v>1</v>
      </c>
      <c r="I61" s="453"/>
      <c r="J61" s="10" t="s">
        <v>48</v>
      </c>
      <c r="K61" s="30"/>
      <c r="L61" s="30"/>
      <c r="M61" s="30"/>
      <c r="N61" s="30"/>
      <c r="O61" s="30"/>
      <c r="P61" s="30"/>
      <c r="Q61" s="30"/>
      <c r="R61" s="30"/>
      <c r="S61" s="30"/>
      <c r="T61" s="31"/>
    </row>
    <row r="62" spans="1:20" x14ac:dyDescent="0.2">
      <c r="A62" s="436"/>
      <c r="B62" s="10" t="s">
        <v>32</v>
      </c>
      <c r="C62" s="30">
        <v>11.5</v>
      </c>
      <c r="D62" s="35">
        <v>9.5</v>
      </c>
      <c r="E62" s="30">
        <v>0</v>
      </c>
      <c r="F62" s="35">
        <v>0</v>
      </c>
      <c r="G62" s="30">
        <v>0</v>
      </c>
      <c r="H62" s="31">
        <v>0</v>
      </c>
      <c r="I62" s="453"/>
      <c r="J62" s="10" t="s">
        <v>49</v>
      </c>
      <c r="T62" s="2"/>
    </row>
    <row r="63" spans="1:20" x14ac:dyDescent="0.2">
      <c r="A63" s="436"/>
      <c r="B63" s="10" t="s">
        <v>33</v>
      </c>
      <c r="C63">
        <v>0</v>
      </c>
      <c r="D63" s="36">
        <v>0</v>
      </c>
      <c r="E63">
        <v>0</v>
      </c>
      <c r="F63" s="36">
        <v>0</v>
      </c>
      <c r="G63">
        <v>0</v>
      </c>
      <c r="H63" s="2">
        <v>0</v>
      </c>
      <c r="I63" s="453"/>
      <c r="J63" s="98" t="s">
        <v>50</v>
      </c>
      <c r="K63" s="99"/>
      <c r="L63" s="99"/>
      <c r="M63" s="99"/>
      <c r="N63" s="99"/>
      <c r="O63" s="99"/>
      <c r="P63" s="99"/>
      <c r="Q63" s="99"/>
      <c r="R63" s="99"/>
      <c r="S63" s="99"/>
      <c r="T63" s="100"/>
    </row>
    <row r="64" spans="1:20" x14ac:dyDescent="0.2">
      <c r="A64" s="436"/>
      <c r="B64" s="10" t="s">
        <v>34</v>
      </c>
      <c r="C64" s="30">
        <v>0</v>
      </c>
      <c r="D64" s="35">
        <v>0</v>
      </c>
      <c r="E64" s="30">
        <v>0</v>
      </c>
      <c r="F64" s="35">
        <v>0</v>
      </c>
      <c r="G64" s="30">
        <v>0</v>
      </c>
      <c r="H64" s="31">
        <v>0</v>
      </c>
      <c r="I64" s="453"/>
      <c r="J64" s="10" t="s">
        <v>51</v>
      </c>
      <c r="T64" s="2"/>
    </row>
    <row r="65" spans="1:20" x14ac:dyDescent="0.2">
      <c r="A65" s="436"/>
      <c r="B65" s="10" t="s">
        <v>35</v>
      </c>
      <c r="C65">
        <v>0</v>
      </c>
      <c r="D65" s="36">
        <v>0</v>
      </c>
      <c r="E65">
        <v>0</v>
      </c>
      <c r="F65" s="36">
        <v>0</v>
      </c>
      <c r="G65">
        <v>0</v>
      </c>
      <c r="H65" s="2">
        <v>0</v>
      </c>
      <c r="I65" s="453"/>
      <c r="J65" s="10" t="s">
        <v>49</v>
      </c>
      <c r="K65" s="30"/>
      <c r="L65" s="30"/>
      <c r="M65" s="30"/>
      <c r="N65" s="30"/>
      <c r="O65" s="30"/>
      <c r="P65" s="30"/>
      <c r="Q65" s="30"/>
      <c r="R65" s="30"/>
      <c r="S65" s="30"/>
      <c r="T65" s="31"/>
    </row>
    <row r="66" spans="1:20" x14ac:dyDescent="0.2">
      <c r="A66" s="436"/>
      <c r="B66" s="10" t="s">
        <v>36</v>
      </c>
      <c r="C66" s="30">
        <v>0</v>
      </c>
      <c r="D66" s="35">
        <v>0</v>
      </c>
      <c r="E66" s="30">
        <v>0</v>
      </c>
      <c r="F66" s="35">
        <v>0</v>
      </c>
      <c r="G66" s="30">
        <v>0</v>
      </c>
      <c r="H66" s="31">
        <v>0</v>
      </c>
      <c r="I66" s="453"/>
      <c r="J66" s="10" t="s">
        <v>50</v>
      </c>
      <c r="T66" s="2"/>
    </row>
    <row r="67" spans="1:20" x14ac:dyDescent="0.2">
      <c r="A67" s="436"/>
      <c r="B67" s="10" t="s">
        <v>37</v>
      </c>
      <c r="C67">
        <v>0</v>
      </c>
      <c r="D67" s="36">
        <v>0</v>
      </c>
      <c r="E67">
        <v>0</v>
      </c>
      <c r="F67" s="36">
        <v>0</v>
      </c>
      <c r="G67">
        <v>0.25</v>
      </c>
      <c r="H67" s="2">
        <v>8</v>
      </c>
      <c r="I67" s="453"/>
      <c r="J67" s="455" t="s">
        <v>55</v>
      </c>
      <c r="K67" s="456"/>
      <c r="L67" s="456"/>
      <c r="M67" s="456"/>
      <c r="N67" s="456"/>
      <c r="O67" s="456"/>
      <c r="P67" s="456"/>
      <c r="Q67" s="456"/>
      <c r="R67" s="456"/>
      <c r="S67" s="456"/>
      <c r="T67" s="457"/>
    </row>
    <row r="68" spans="1:20" x14ac:dyDescent="0.2">
      <c r="A68" s="436"/>
      <c r="B68" s="10" t="s">
        <v>38</v>
      </c>
      <c r="C68" s="30">
        <v>0</v>
      </c>
      <c r="D68" s="35">
        <v>0</v>
      </c>
      <c r="E68" s="30">
        <v>0</v>
      </c>
      <c r="F68" s="35">
        <v>0</v>
      </c>
      <c r="G68" s="30">
        <v>0</v>
      </c>
      <c r="H68" s="31">
        <v>0</v>
      </c>
      <c r="I68" s="453"/>
      <c r="J68" s="9" t="s">
        <v>47</v>
      </c>
      <c r="T68" s="2"/>
    </row>
    <row r="69" spans="1:20" x14ac:dyDescent="0.2">
      <c r="A69" s="40"/>
      <c r="B69" s="10" t="s">
        <v>39</v>
      </c>
      <c r="C69">
        <v>0</v>
      </c>
      <c r="D69" s="36">
        <v>0</v>
      </c>
      <c r="E69">
        <v>0</v>
      </c>
      <c r="F69" s="36">
        <v>0</v>
      </c>
      <c r="G69">
        <v>0</v>
      </c>
      <c r="H69" s="2">
        <v>0</v>
      </c>
      <c r="I69" s="453"/>
      <c r="J69" s="10" t="s">
        <v>48</v>
      </c>
      <c r="K69" s="30"/>
      <c r="L69" s="30"/>
      <c r="M69" s="30"/>
      <c r="N69" s="30"/>
      <c r="O69" s="30"/>
      <c r="P69" s="30"/>
      <c r="Q69" s="30"/>
      <c r="R69" s="30"/>
      <c r="S69" s="30"/>
      <c r="T69" s="31"/>
    </row>
    <row r="70" spans="1:20" ht="16" thickBot="1" x14ac:dyDescent="0.25">
      <c r="A70" s="40"/>
      <c r="B70" s="11" t="s">
        <v>40</v>
      </c>
      <c r="C70" s="32">
        <v>0</v>
      </c>
      <c r="D70" s="37">
        <v>0</v>
      </c>
      <c r="E70" s="32">
        <v>0</v>
      </c>
      <c r="F70" s="37">
        <v>0</v>
      </c>
      <c r="G70" s="32">
        <v>0</v>
      </c>
      <c r="H70" s="33">
        <v>0</v>
      </c>
      <c r="I70" s="453"/>
      <c r="J70" s="10" t="s">
        <v>49</v>
      </c>
      <c r="T70" s="2"/>
    </row>
    <row r="71" spans="1:20" x14ac:dyDescent="0.2">
      <c r="A71" s="40"/>
      <c r="B71" s="38"/>
      <c r="C71" s="38"/>
      <c r="D71" s="38"/>
      <c r="E71" s="38"/>
      <c r="F71" s="38"/>
      <c r="G71" s="38"/>
      <c r="H71" s="41"/>
      <c r="I71" s="453"/>
      <c r="J71" s="98" t="s">
        <v>50</v>
      </c>
      <c r="K71" s="99"/>
      <c r="L71" s="99"/>
      <c r="M71" s="99"/>
      <c r="N71" s="99"/>
      <c r="O71" s="99"/>
      <c r="P71" s="99"/>
      <c r="Q71" s="99"/>
      <c r="R71" s="99"/>
      <c r="S71" s="99"/>
      <c r="T71" s="100"/>
    </row>
    <row r="72" spans="1:20" x14ac:dyDescent="0.2">
      <c r="A72" s="40"/>
      <c r="B72" s="38"/>
      <c r="C72" s="38"/>
      <c r="D72" s="38"/>
      <c r="E72" s="38"/>
      <c r="F72" s="38"/>
      <c r="G72" s="38"/>
      <c r="H72" s="41"/>
      <c r="I72" s="453"/>
      <c r="J72" s="10" t="s">
        <v>51</v>
      </c>
      <c r="T72" s="2"/>
    </row>
    <row r="73" spans="1:20" x14ac:dyDescent="0.2">
      <c r="A73" s="40"/>
      <c r="B73" s="38"/>
      <c r="C73" s="38"/>
      <c r="D73" s="38"/>
      <c r="E73" s="38"/>
      <c r="F73" s="38"/>
      <c r="G73" s="38"/>
      <c r="H73" s="41"/>
      <c r="I73" s="453"/>
      <c r="J73" s="10" t="s">
        <v>49</v>
      </c>
      <c r="K73" s="30"/>
      <c r="L73" s="30"/>
      <c r="M73" s="30"/>
      <c r="N73" s="30"/>
      <c r="O73" s="30"/>
      <c r="P73" s="30"/>
      <c r="Q73" s="30"/>
      <c r="R73" s="30"/>
      <c r="S73" s="30"/>
      <c r="T73" s="31"/>
    </row>
    <row r="74" spans="1:20" ht="16" thickBot="1" x14ac:dyDescent="0.25">
      <c r="A74" s="42"/>
      <c r="B74" s="43"/>
      <c r="C74" s="43"/>
      <c r="D74" s="43"/>
      <c r="E74" s="43"/>
      <c r="F74" s="43"/>
      <c r="G74" s="43"/>
      <c r="H74" s="44"/>
      <c r="I74" s="454"/>
      <c r="J74" s="11" t="s">
        <v>50</v>
      </c>
      <c r="K74" s="4"/>
      <c r="L74" s="4"/>
      <c r="M74" s="4"/>
      <c r="N74" s="4"/>
      <c r="O74" s="4"/>
      <c r="P74" s="4"/>
      <c r="Q74" s="4"/>
      <c r="R74" s="4"/>
      <c r="S74" s="4"/>
      <c r="T74" s="5"/>
    </row>
  </sheetData>
  <mergeCells count="42">
    <mergeCell ref="G1:I1"/>
    <mergeCell ref="A2:T2"/>
    <mergeCell ref="A3:A68"/>
    <mergeCell ref="B3:B22"/>
    <mergeCell ref="C3:H3"/>
    <mergeCell ref="I3:I42"/>
    <mergeCell ref="J3:T3"/>
    <mergeCell ref="C4:D4"/>
    <mergeCell ref="E4:F4"/>
    <mergeCell ref="G4:H4"/>
    <mergeCell ref="J27:T27"/>
    <mergeCell ref="C8:F8"/>
    <mergeCell ref="G8:H9"/>
    <mergeCell ref="C9:D9"/>
    <mergeCell ref="E9:F9"/>
    <mergeCell ref="J11:T11"/>
    <mergeCell ref="C13:D13"/>
    <mergeCell ref="C14:H14"/>
    <mergeCell ref="C17:H17"/>
    <mergeCell ref="J19:T19"/>
    <mergeCell ref="C20:H20"/>
    <mergeCell ref="B23:H23"/>
    <mergeCell ref="J35:T35"/>
    <mergeCell ref="B39:B58"/>
    <mergeCell ref="C39:H39"/>
    <mergeCell ref="C40:D40"/>
    <mergeCell ref="E40:F40"/>
    <mergeCell ref="G40:H40"/>
    <mergeCell ref="I43:I74"/>
    <mergeCell ref="J43:T43"/>
    <mergeCell ref="C44:F44"/>
    <mergeCell ref="G44:H45"/>
    <mergeCell ref="C56:H56"/>
    <mergeCell ref="B59:H59"/>
    <mergeCell ref="J59:T59"/>
    <mergeCell ref="J67:T67"/>
    <mergeCell ref="C45:D45"/>
    <mergeCell ref="E45:F45"/>
    <mergeCell ref="C49:D49"/>
    <mergeCell ref="C50:H50"/>
    <mergeCell ref="J51:T51"/>
    <mergeCell ref="C53:H53"/>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A0529-D378-4481-9FA4-E5B5591FC447}">
  <sheetPr codeName="Sheet39">
    <tabColor theme="5"/>
    <pageSetUpPr fitToPage="1"/>
  </sheetPr>
  <dimension ref="A1:J74"/>
  <sheetViews>
    <sheetView topLeftCell="A24" workbookViewId="0">
      <selection activeCell="O67" sqref="O67"/>
    </sheetView>
  </sheetViews>
  <sheetFormatPr baseColWidth="10" defaultColWidth="8.83203125" defaultRowHeight="15" x14ac:dyDescent="0.2"/>
  <cols>
    <col min="2" max="2" width="8.5" bestFit="1" customWidth="1"/>
    <col min="3" max="3" width="12.5" bestFit="1" customWidth="1"/>
    <col min="4" max="4" width="9.83203125" bestFit="1" customWidth="1"/>
    <col min="5" max="5" width="14" bestFit="1" customWidth="1"/>
    <col min="6" max="6" width="10.33203125" bestFit="1" customWidth="1"/>
    <col min="7" max="7" width="17.5" bestFit="1" customWidth="1"/>
    <col min="8" max="8" width="9.33203125" bestFit="1" customWidth="1"/>
    <col min="9" max="9" width="10.83203125" bestFit="1" customWidth="1"/>
    <col min="10" max="10" width="13.83203125" bestFit="1" customWidth="1"/>
  </cols>
  <sheetData>
    <row r="1" spans="1:10" ht="16" thickBot="1" x14ac:dyDescent="0.25">
      <c r="A1" s="180"/>
      <c r="B1" s="142"/>
      <c r="C1" s="142"/>
      <c r="D1" s="142"/>
      <c r="E1" s="142"/>
      <c r="F1" s="142"/>
      <c r="G1" s="513" t="s">
        <v>375</v>
      </c>
      <c r="H1" s="513"/>
      <c r="I1" s="513"/>
      <c r="J1" s="196">
        <v>7</v>
      </c>
    </row>
    <row r="2" spans="1:10" ht="16" thickBot="1" x14ac:dyDescent="0.25">
      <c r="A2" s="412" t="s">
        <v>13</v>
      </c>
      <c r="B2" s="413"/>
      <c r="C2" s="413"/>
      <c r="D2" s="413"/>
      <c r="E2" s="413"/>
      <c r="F2" s="413"/>
      <c r="G2" s="413"/>
      <c r="H2" s="413"/>
      <c r="I2" s="413"/>
      <c r="J2" s="543"/>
    </row>
    <row r="3" spans="1:10" x14ac:dyDescent="0.2">
      <c r="A3" s="538"/>
      <c r="B3" s="539" t="s">
        <v>58</v>
      </c>
      <c r="C3" s="426" t="s">
        <v>376</v>
      </c>
      <c r="D3" s="424"/>
      <c r="E3" s="424"/>
      <c r="F3" s="424"/>
      <c r="G3" s="424"/>
      <c r="H3" s="425"/>
      <c r="I3" s="452" t="s">
        <v>59</v>
      </c>
      <c r="J3" s="200" t="s">
        <v>46</v>
      </c>
    </row>
    <row r="4" spans="1:10" x14ac:dyDescent="0.2">
      <c r="A4" s="436"/>
      <c r="B4" s="540"/>
      <c r="C4" s="518" t="s">
        <v>8</v>
      </c>
      <c r="D4" s="519"/>
      <c r="E4" s="519" t="s">
        <v>9</v>
      </c>
      <c r="F4" s="519"/>
      <c r="G4" s="519" t="s">
        <v>10</v>
      </c>
      <c r="H4" s="534"/>
      <c r="I4" s="453"/>
      <c r="J4" s="201" t="s">
        <v>47</v>
      </c>
    </row>
    <row r="5" spans="1:10" x14ac:dyDescent="0.2">
      <c r="A5" s="436"/>
      <c r="B5" s="540"/>
      <c r="C5" s="238" t="s">
        <v>5</v>
      </c>
      <c r="D5" s="229">
        <v>79.75</v>
      </c>
      <c r="E5" s="239" t="s">
        <v>263</v>
      </c>
      <c r="F5" s="229">
        <v>173</v>
      </c>
      <c r="G5" s="239" t="s">
        <v>5</v>
      </c>
      <c r="H5" s="232">
        <v>22.25</v>
      </c>
      <c r="I5" s="453"/>
      <c r="J5" s="202" t="s">
        <v>48</v>
      </c>
    </row>
    <row r="6" spans="1:10" x14ac:dyDescent="0.2">
      <c r="A6" s="436"/>
      <c r="B6" s="540"/>
      <c r="C6" s="240" t="s">
        <v>6</v>
      </c>
      <c r="D6" s="219">
        <v>0</v>
      </c>
      <c r="E6" s="241" t="s">
        <v>5</v>
      </c>
      <c r="F6" s="219">
        <v>101</v>
      </c>
      <c r="G6" s="241" t="s">
        <v>6</v>
      </c>
      <c r="H6" s="220">
        <v>0</v>
      </c>
      <c r="I6" s="453"/>
      <c r="J6" s="202" t="s">
        <v>49</v>
      </c>
    </row>
    <row r="7" spans="1:10" ht="16" thickBot="1" x14ac:dyDescent="0.25">
      <c r="A7" s="436"/>
      <c r="B7" s="540"/>
      <c r="C7" s="242" t="s">
        <v>7</v>
      </c>
      <c r="D7" s="222" t="s">
        <v>197</v>
      </c>
      <c r="E7" s="243" t="s">
        <v>7</v>
      </c>
      <c r="F7" s="222">
        <v>72</v>
      </c>
      <c r="G7" s="243" t="s">
        <v>7</v>
      </c>
      <c r="H7" s="233">
        <v>0</v>
      </c>
      <c r="I7" s="453"/>
      <c r="J7" s="203" t="s">
        <v>50</v>
      </c>
    </row>
    <row r="8" spans="1:10" x14ac:dyDescent="0.2">
      <c r="A8" s="436"/>
      <c r="B8" s="540"/>
      <c r="C8" s="426" t="s">
        <v>12</v>
      </c>
      <c r="D8" s="424"/>
      <c r="E8" s="424"/>
      <c r="F8" s="424"/>
      <c r="G8" s="522" t="s">
        <v>2</v>
      </c>
      <c r="H8" s="323"/>
      <c r="I8" s="453"/>
      <c r="J8" s="202" t="s">
        <v>51</v>
      </c>
    </row>
    <row r="9" spans="1:10" x14ac:dyDescent="0.2">
      <c r="A9" s="436"/>
      <c r="B9" s="540"/>
      <c r="C9" s="518" t="s">
        <v>8</v>
      </c>
      <c r="D9" s="519"/>
      <c r="E9" s="519" t="s">
        <v>10</v>
      </c>
      <c r="F9" s="519"/>
      <c r="G9" s="536"/>
      <c r="H9" s="537"/>
      <c r="I9" s="453"/>
      <c r="J9" s="202" t="s">
        <v>49</v>
      </c>
    </row>
    <row r="10" spans="1:10" x14ac:dyDescent="0.2">
      <c r="A10" s="436"/>
      <c r="B10" s="540"/>
      <c r="C10" s="240" t="s">
        <v>5</v>
      </c>
      <c r="D10" s="212">
        <v>37</v>
      </c>
      <c r="E10" s="241" t="s">
        <v>5</v>
      </c>
      <c r="F10" s="212">
        <v>17.75</v>
      </c>
      <c r="G10" s="240" t="s">
        <v>18</v>
      </c>
      <c r="H10" s="220">
        <v>4.625</v>
      </c>
      <c r="I10" s="453"/>
      <c r="J10" s="202" t="s">
        <v>50</v>
      </c>
    </row>
    <row r="11" spans="1:10" x14ac:dyDescent="0.2">
      <c r="A11" s="436"/>
      <c r="B11" s="540"/>
      <c r="C11" s="240" t="s">
        <v>6</v>
      </c>
      <c r="D11" s="219">
        <v>19.75</v>
      </c>
      <c r="E11" s="241" t="s">
        <v>6</v>
      </c>
      <c r="F11" s="219">
        <v>0.5</v>
      </c>
      <c r="G11" s="240" t="s">
        <v>354</v>
      </c>
      <c r="H11" s="231">
        <v>12.75</v>
      </c>
      <c r="I11" s="453"/>
      <c r="J11" s="204" t="s">
        <v>52</v>
      </c>
    </row>
    <row r="12" spans="1:10" ht="16" thickBot="1" x14ac:dyDescent="0.25">
      <c r="A12" s="436"/>
      <c r="B12" s="540"/>
      <c r="C12" s="242" t="s">
        <v>7</v>
      </c>
      <c r="D12" s="222">
        <v>2.5</v>
      </c>
      <c r="E12" s="243" t="s">
        <v>7</v>
      </c>
      <c r="F12" s="222">
        <v>0.5</v>
      </c>
      <c r="G12" s="242" t="s">
        <v>353</v>
      </c>
      <c r="H12" s="223">
        <v>3</v>
      </c>
      <c r="I12" s="453"/>
      <c r="J12" s="201" t="s">
        <v>47</v>
      </c>
    </row>
    <row r="13" spans="1:10" ht="16" thickBot="1" x14ac:dyDescent="0.25">
      <c r="A13" s="436"/>
      <c r="B13" s="540"/>
      <c r="C13" s="520" t="s">
        <v>0</v>
      </c>
      <c r="D13" s="521"/>
      <c r="E13" s="244" t="s">
        <v>267</v>
      </c>
      <c r="F13" s="230">
        <v>11</v>
      </c>
      <c r="G13" s="244" t="s">
        <v>268</v>
      </c>
      <c r="H13" s="206">
        <v>6.25</v>
      </c>
      <c r="I13" s="453"/>
      <c r="J13" s="202" t="s">
        <v>48</v>
      </c>
    </row>
    <row r="14" spans="1:10" x14ac:dyDescent="0.2">
      <c r="A14" s="436"/>
      <c r="B14" s="540"/>
      <c r="C14" s="522" t="s">
        <v>262</v>
      </c>
      <c r="D14" s="322"/>
      <c r="E14" s="322"/>
      <c r="F14" s="322"/>
      <c r="G14" s="322"/>
      <c r="H14" s="323"/>
      <c r="I14" s="453"/>
      <c r="J14" s="202" t="s">
        <v>49</v>
      </c>
    </row>
    <row r="15" spans="1:10" x14ac:dyDescent="0.2">
      <c r="A15" s="436"/>
      <c r="B15" s="540"/>
      <c r="C15" s="213" t="s">
        <v>263</v>
      </c>
      <c r="D15" s="214" t="s">
        <v>132</v>
      </c>
      <c r="E15" s="214" t="s">
        <v>264</v>
      </c>
      <c r="F15" s="214" t="s">
        <v>22</v>
      </c>
      <c r="G15" s="214" t="s">
        <v>259</v>
      </c>
      <c r="H15" s="215" t="s">
        <v>97</v>
      </c>
      <c r="I15" s="453"/>
      <c r="J15" s="203" t="s">
        <v>50</v>
      </c>
    </row>
    <row r="16" spans="1:10" ht="16" thickBot="1" x14ac:dyDescent="0.25">
      <c r="A16" s="436"/>
      <c r="B16" s="540"/>
      <c r="C16" s="168">
        <v>16</v>
      </c>
      <c r="D16" s="219">
        <v>2.75</v>
      </c>
      <c r="E16" s="212">
        <v>0</v>
      </c>
      <c r="F16" s="219">
        <v>0</v>
      </c>
      <c r="G16" s="212">
        <v>1.75</v>
      </c>
      <c r="H16" s="220">
        <v>7.5</v>
      </c>
      <c r="I16" s="453"/>
      <c r="J16" s="202" t="s">
        <v>51</v>
      </c>
    </row>
    <row r="17" spans="1:10" x14ac:dyDescent="0.2">
      <c r="A17" s="436"/>
      <c r="B17" s="540"/>
      <c r="C17" s="522" t="s">
        <v>265</v>
      </c>
      <c r="D17" s="322"/>
      <c r="E17" s="322"/>
      <c r="F17" s="322"/>
      <c r="G17" s="322"/>
      <c r="H17" s="323"/>
      <c r="I17" s="453"/>
      <c r="J17" s="202" t="s">
        <v>49</v>
      </c>
    </row>
    <row r="18" spans="1:10" x14ac:dyDescent="0.2">
      <c r="A18" s="436"/>
      <c r="B18" s="540"/>
      <c r="C18" s="213" t="s">
        <v>263</v>
      </c>
      <c r="D18" s="214" t="s">
        <v>132</v>
      </c>
      <c r="E18" s="214" t="s">
        <v>264</v>
      </c>
      <c r="F18" s="214" t="s">
        <v>22</v>
      </c>
      <c r="G18" s="214" t="s">
        <v>259</v>
      </c>
      <c r="H18" s="215" t="s">
        <v>97</v>
      </c>
      <c r="I18" s="453"/>
      <c r="J18" s="202" t="s">
        <v>50</v>
      </c>
    </row>
    <row r="19" spans="1:10" ht="16" thickBot="1" x14ac:dyDescent="0.25">
      <c r="A19" s="436"/>
      <c r="B19" s="540"/>
      <c r="C19" s="245">
        <v>173</v>
      </c>
      <c r="D19" s="219">
        <v>28.25</v>
      </c>
      <c r="E19" s="212">
        <v>0</v>
      </c>
      <c r="F19" s="219">
        <v>0</v>
      </c>
      <c r="G19" s="212">
        <v>18.5</v>
      </c>
      <c r="H19" s="220">
        <v>83</v>
      </c>
      <c r="I19" s="453"/>
      <c r="J19" s="204" t="s">
        <v>53</v>
      </c>
    </row>
    <row r="20" spans="1:10" x14ac:dyDescent="0.2">
      <c r="A20" s="436"/>
      <c r="B20" s="540"/>
      <c r="C20" s="426" t="s">
        <v>1</v>
      </c>
      <c r="D20" s="424"/>
      <c r="E20" s="424"/>
      <c r="F20" s="424"/>
      <c r="G20" s="424"/>
      <c r="H20" s="425"/>
      <c r="I20" s="453"/>
      <c r="J20" s="201" t="s">
        <v>47</v>
      </c>
    </row>
    <row r="21" spans="1:10" x14ac:dyDescent="0.2">
      <c r="A21" s="436"/>
      <c r="B21" s="540"/>
      <c r="C21" s="213" t="s">
        <v>266</v>
      </c>
      <c r="D21" s="214" t="s">
        <v>45</v>
      </c>
      <c r="E21" s="214" t="s">
        <v>15</v>
      </c>
      <c r="F21" s="214" t="s">
        <v>14</v>
      </c>
      <c r="G21" s="214" t="s">
        <v>42</v>
      </c>
      <c r="H21" s="215" t="s">
        <v>44</v>
      </c>
      <c r="I21" s="453"/>
      <c r="J21" s="202" t="s">
        <v>48</v>
      </c>
    </row>
    <row r="22" spans="1:10" ht="16" thickBot="1" x14ac:dyDescent="0.25">
      <c r="A22" s="436"/>
      <c r="B22" s="541"/>
      <c r="C22" s="186">
        <v>0</v>
      </c>
      <c r="D22" s="221">
        <v>4.25</v>
      </c>
      <c r="E22" s="222">
        <v>3.25</v>
      </c>
      <c r="F22" s="221">
        <v>2.75</v>
      </c>
      <c r="G22" s="222">
        <v>0.25</v>
      </c>
      <c r="H22" s="223">
        <v>1.25</v>
      </c>
      <c r="I22" s="453"/>
      <c r="J22" s="202" t="s">
        <v>49</v>
      </c>
    </row>
    <row r="23" spans="1:10" x14ac:dyDescent="0.2">
      <c r="A23" s="436"/>
      <c r="B23" s="426" t="s">
        <v>23</v>
      </c>
      <c r="C23" s="424"/>
      <c r="D23" s="424"/>
      <c r="E23" s="424"/>
      <c r="F23" s="424"/>
      <c r="G23" s="424"/>
      <c r="H23" s="425"/>
      <c r="I23" s="453"/>
      <c r="J23" s="203" t="s">
        <v>50</v>
      </c>
    </row>
    <row r="24" spans="1:10" x14ac:dyDescent="0.2">
      <c r="A24" s="436"/>
      <c r="B24" s="213" t="s">
        <v>24</v>
      </c>
      <c r="C24" s="214" t="s">
        <v>25</v>
      </c>
      <c r="D24" s="214" t="s">
        <v>28</v>
      </c>
      <c r="E24" s="214" t="s">
        <v>26</v>
      </c>
      <c r="F24" s="214" t="s">
        <v>30</v>
      </c>
      <c r="G24" s="214" t="s">
        <v>27</v>
      </c>
      <c r="H24" s="215" t="s">
        <v>29</v>
      </c>
      <c r="I24" s="453"/>
      <c r="J24" s="202" t="s">
        <v>51</v>
      </c>
    </row>
    <row r="25" spans="1:10" x14ac:dyDescent="0.2">
      <c r="A25" s="436"/>
      <c r="B25" s="238" t="s">
        <v>31</v>
      </c>
      <c r="C25" s="212">
        <v>5.75</v>
      </c>
      <c r="D25" s="234">
        <v>12.75</v>
      </c>
      <c r="E25" s="212">
        <v>0</v>
      </c>
      <c r="F25" s="234">
        <v>0</v>
      </c>
      <c r="G25" s="212">
        <v>0.25</v>
      </c>
      <c r="H25" s="231">
        <v>1</v>
      </c>
      <c r="I25" s="453"/>
      <c r="J25" s="202" t="s">
        <v>49</v>
      </c>
    </row>
    <row r="26" spans="1:10" x14ac:dyDescent="0.2">
      <c r="A26" s="436"/>
      <c r="B26" s="240" t="s">
        <v>32</v>
      </c>
      <c r="C26" s="219">
        <v>11.5</v>
      </c>
      <c r="D26" s="246">
        <v>9.5</v>
      </c>
      <c r="E26" s="219">
        <v>0</v>
      </c>
      <c r="F26" s="246">
        <v>0</v>
      </c>
      <c r="G26" s="219">
        <v>0</v>
      </c>
      <c r="H26" s="220">
        <v>0</v>
      </c>
      <c r="I26" s="453"/>
      <c r="J26" s="202" t="s">
        <v>50</v>
      </c>
    </row>
    <row r="27" spans="1:10" x14ac:dyDescent="0.2">
      <c r="A27" s="436"/>
      <c r="B27" s="240" t="s">
        <v>33</v>
      </c>
      <c r="C27" s="212">
        <v>0</v>
      </c>
      <c r="D27" s="247">
        <v>0</v>
      </c>
      <c r="E27" s="212">
        <v>0</v>
      </c>
      <c r="F27" s="247">
        <v>0</v>
      </c>
      <c r="G27" s="212">
        <v>0</v>
      </c>
      <c r="H27" s="231">
        <v>0</v>
      </c>
      <c r="I27" s="453"/>
      <c r="J27" s="204" t="s">
        <v>54</v>
      </c>
    </row>
    <row r="28" spans="1:10" x14ac:dyDescent="0.2">
      <c r="A28" s="436"/>
      <c r="B28" s="240" t="s">
        <v>34</v>
      </c>
      <c r="C28" s="219">
        <v>0</v>
      </c>
      <c r="D28" s="246">
        <v>0</v>
      </c>
      <c r="E28" s="219">
        <v>0</v>
      </c>
      <c r="F28" s="246">
        <v>0</v>
      </c>
      <c r="G28" s="219">
        <v>0</v>
      </c>
      <c r="H28" s="220">
        <v>0</v>
      </c>
      <c r="I28" s="453"/>
      <c r="J28" s="201" t="s">
        <v>47</v>
      </c>
    </row>
    <row r="29" spans="1:10" x14ac:dyDescent="0.2">
      <c r="A29" s="436"/>
      <c r="B29" s="240" t="s">
        <v>35</v>
      </c>
      <c r="C29" s="212">
        <v>0</v>
      </c>
      <c r="D29" s="247">
        <v>0</v>
      </c>
      <c r="E29" s="212">
        <v>0</v>
      </c>
      <c r="F29" s="247">
        <v>0</v>
      </c>
      <c r="G29" s="212">
        <v>0</v>
      </c>
      <c r="H29" s="231">
        <v>0</v>
      </c>
      <c r="I29" s="453"/>
      <c r="J29" s="202" t="s">
        <v>48</v>
      </c>
    </row>
    <row r="30" spans="1:10" x14ac:dyDescent="0.2">
      <c r="A30" s="436"/>
      <c r="B30" s="240" t="s">
        <v>36</v>
      </c>
      <c r="C30" s="219">
        <v>0</v>
      </c>
      <c r="D30" s="246">
        <v>0</v>
      </c>
      <c r="E30" s="219">
        <v>0</v>
      </c>
      <c r="F30" s="246">
        <v>0</v>
      </c>
      <c r="G30" s="219">
        <v>0</v>
      </c>
      <c r="H30" s="220">
        <v>0</v>
      </c>
      <c r="I30" s="453"/>
      <c r="J30" s="202" t="s">
        <v>49</v>
      </c>
    </row>
    <row r="31" spans="1:10" x14ac:dyDescent="0.2">
      <c r="A31" s="436"/>
      <c r="B31" s="240" t="s">
        <v>37</v>
      </c>
      <c r="C31" s="212">
        <v>0</v>
      </c>
      <c r="D31" s="247">
        <v>0</v>
      </c>
      <c r="E31" s="212">
        <v>0</v>
      </c>
      <c r="F31" s="247">
        <v>0</v>
      </c>
      <c r="G31" s="212">
        <v>0.25</v>
      </c>
      <c r="H31" s="231">
        <v>8</v>
      </c>
      <c r="I31" s="453"/>
      <c r="J31" s="203" t="s">
        <v>50</v>
      </c>
    </row>
    <row r="32" spans="1:10" x14ac:dyDescent="0.2">
      <c r="A32" s="436"/>
      <c r="B32" s="240" t="s">
        <v>38</v>
      </c>
      <c r="C32" s="219">
        <v>0</v>
      </c>
      <c r="D32" s="246">
        <v>0</v>
      </c>
      <c r="E32" s="219">
        <v>0</v>
      </c>
      <c r="F32" s="246">
        <v>0</v>
      </c>
      <c r="G32" s="219">
        <v>0</v>
      </c>
      <c r="H32" s="220">
        <v>0</v>
      </c>
      <c r="I32" s="453"/>
      <c r="J32" s="202" t="s">
        <v>51</v>
      </c>
    </row>
    <row r="33" spans="1:10" x14ac:dyDescent="0.2">
      <c r="A33" s="436"/>
      <c r="B33" s="240" t="s">
        <v>39</v>
      </c>
      <c r="C33" s="212">
        <v>0</v>
      </c>
      <c r="D33" s="247">
        <v>0</v>
      </c>
      <c r="E33" s="212">
        <v>0</v>
      </c>
      <c r="F33" s="247">
        <v>0</v>
      </c>
      <c r="G33" s="212">
        <v>0</v>
      </c>
      <c r="H33" s="231">
        <v>0</v>
      </c>
      <c r="I33" s="453"/>
      <c r="J33" s="202" t="s">
        <v>49</v>
      </c>
    </row>
    <row r="34" spans="1:10" ht="16" thickBot="1" x14ac:dyDescent="0.25">
      <c r="A34" s="436"/>
      <c r="B34" s="242" t="s">
        <v>40</v>
      </c>
      <c r="C34" s="221">
        <v>0</v>
      </c>
      <c r="D34" s="248">
        <v>0</v>
      </c>
      <c r="E34" s="221">
        <v>0</v>
      </c>
      <c r="F34" s="248">
        <v>0</v>
      </c>
      <c r="G34" s="221">
        <v>0</v>
      </c>
      <c r="H34" s="223">
        <v>0</v>
      </c>
      <c r="I34" s="453"/>
      <c r="J34" s="202" t="s">
        <v>50</v>
      </c>
    </row>
    <row r="35" spans="1:10" x14ac:dyDescent="0.2">
      <c r="A35" s="436"/>
      <c r="B35" s="183"/>
      <c r="C35" s="183"/>
      <c r="D35" s="183"/>
      <c r="E35" s="183"/>
      <c r="F35" s="183"/>
      <c r="G35" s="183"/>
      <c r="H35" s="39"/>
      <c r="I35" s="453"/>
      <c r="J35" s="204" t="s">
        <v>55</v>
      </c>
    </row>
    <row r="36" spans="1:10" x14ac:dyDescent="0.2">
      <c r="A36" s="436"/>
      <c r="B36" s="183"/>
      <c r="C36" s="183"/>
      <c r="D36" s="183"/>
      <c r="E36" s="183"/>
      <c r="F36" s="183"/>
      <c r="G36" s="183"/>
      <c r="H36" s="39"/>
      <c r="I36" s="453"/>
      <c r="J36" s="201" t="s">
        <v>47</v>
      </c>
    </row>
    <row r="37" spans="1:10" x14ac:dyDescent="0.2">
      <c r="A37" s="436"/>
      <c r="B37" s="183"/>
      <c r="C37" s="183"/>
      <c r="D37" s="183"/>
      <c r="E37" s="183"/>
      <c r="F37" s="183"/>
      <c r="G37" s="183"/>
      <c r="H37" s="39"/>
      <c r="I37" s="453"/>
      <c r="J37" s="202" t="s">
        <v>48</v>
      </c>
    </row>
    <row r="38" spans="1:10" ht="16" thickBot="1" x14ac:dyDescent="0.25">
      <c r="A38" s="436"/>
      <c r="B38" s="54"/>
      <c r="C38" s="54"/>
      <c r="D38" s="54"/>
      <c r="E38" s="54"/>
      <c r="F38" s="54"/>
      <c r="G38" s="54"/>
      <c r="H38" s="55"/>
      <c r="I38" s="453"/>
      <c r="J38" s="202" t="s">
        <v>49</v>
      </c>
    </row>
    <row r="39" spans="1:10" x14ac:dyDescent="0.2">
      <c r="A39" s="436"/>
      <c r="B39" s="539" t="s">
        <v>349</v>
      </c>
      <c r="C39" s="426" t="s">
        <v>376</v>
      </c>
      <c r="D39" s="424"/>
      <c r="E39" s="424"/>
      <c r="F39" s="424"/>
      <c r="G39" s="424"/>
      <c r="H39" s="425"/>
      <c r="I39" s="453"/>
      <c r="J39" s="203" t="s">
        <v>50</v>
      </c>
    </row>
    <row r="40" spans="1:10" x14ac:dyDescent="0.2">
      <c r="A40" s="436"/>
      <c r="B40" s="540"/>
      <c r="C40" s="518" t="s">
        <v>8</v>
      </c>
      <c r="D40" s="519"/>
      <c r="E40" s="519" t="s">
        <v>9</v>
      </c>
      <c r="F40" s="519"/>
      <c r="G40" s="519" t="s">
        <v>10</v>
      </c>
      <c r="H40" s="534"/>
      <c r="I40" s="453"/>
      <c r="J40" s="202" t="s">
        <v>51</v>
      </c>
    </row>
    <row r="41" spans="1:10" x14ac:dyDescent="0.2">
      <c r="A41" s="436"/>
      <c r="B41" s="540"/>
      <c r="C41" s="238" t="s">
        <v>5</v>
      </c>
      <c r="D41" s="229">
        <v>319</v>
      </c>
      <c r="E41" s="239" t="s">
        <v>263</v>
      </c>
      <c r="F41" s="229">
        <v>173</v>
      </c>
      <c r="G41" s="239" t="s">
        <v>5</v>
      </c>
      <c r="H41" s="232">
        <v>89</v>
      </c>
      <c r="I41" s="453"/>
      <c r="J41" s="202" t="s">
        <v>49</v>
      </c>
    </row>
    <row r="42" spans="1:10" ht="16" thickBot="1" x14ac:dyDescent="0.25">
      <c r="A42" s="436"/>
      <c r="B42" s="540"/>
      <c r="C42" s="240" t="s">
        <v>6</v>
      </c>
      <c r="D42" s="219">
        <v>0</v>
      </c>
      <c r="E42" s="241" t="s">
        <v>5</v>
      </c>
      <c r="F42" s="219">
        <v>101</v>
      </c>
      <c r="G42" s="241" t="s">
        <v>6</v>
      </c>
      <c r="H42" s="220">
        <v>0</v>
      </c>
      <c r="I42" s="454"/>
      <c r="J42" s="205" t="s">
        <v>50</v>
      </c>
    </row>
    <row r="43" spans="1:10" ht="16" thickBot="1" x14ac:dyDescent="0.25">
      <c r="A43" s="436"/>
      <c r="B43" s="540"/>
      <c r="C43" s="242" t="s">
        <v>7</v>
      </c>
      <c r="D43" s="222" t="s">
        <v>197</v>
      </c>
      <c r="E43" s="243" t="s">
        <v>7</v>
      </c>
      <c r="F43" s="222">
        <v>72</v>
      </c>
      <c r="G43" s="243" t="s">
        <v>7</v>
      </c>
      <c r="H43" s="233">
        <v>0</v>
      </c>
      <c r="I43" s="452" t="s">
        <v>60</v>
      </c>
      <c r="J43" s="200" t="s">
        <v>56</v>
      </c>
    </row>
    <row r="44" spans="1:10" x14ac:dyDescent="0.2">
      <c r="A44" s="436"/>
      <c r="B44" s="540"/>
      <c r="C44" s="426" t="s">
        <v>12</v>
      </c>
      <c r="D44" s="424"/>
      <c r="E44" s="424"/>
      <c r="F44" s="424"/>
      <c r="G44" s="522" t="s">
        <v>2</v>
      </c>
      <c r="H44" s="323"/>
      <c r="I44" s="453"/>
      <c r="J44" s="201" t="s">
        <v>47</v>
      </c>
    </row>
    <row r="45" spans="1:10" x14ac:dyDescent="0.2">
      <c r="A45" s="436"/>
      <c r="B45" s="540"/>
      <c r="C45" s="518" t="s">
        <v>8</v>
      </c>
      <c r="D45" s="519"/>
      <c r="E45" s="519" t="s">
        <v>10</v>
      </c>
      <c r="F45" s="519"/>
      <c r="G45" s="536"/>
      <c r="H45" s="537"/>
      <c r="I45" s="453"/>
      <c r="J45" s="202" t="s">
        <v>48</v>
      </c>
    </row>
    <row r="46" spans="1:10" x14ac:dyDescent="0.2">
      <c r="A46" s="436"/>
      <c r="B46" s="540"/>
      <c r="C46" s="240" t="s">
        <v>5</v>
      </c>
      <c r="D46" s="212">
        <v>148</v>
      </c>
      <c r="E46" s="241" t="s">
        <v>5</v>
      </c>
      <c r="F46" s="212">
        <v>71</v>
      </c>
      <c r="G46" s="240" t="s">
        <v>18</v>
      </c>
      <c r="H46" s="220">
        <v>18.5</v>
      </c>
      <c r="I46" s="453"/>
      <c r="J46" s="202" t="s">
        <v>49</v>
      </c>
    </row>
    <row r="47" spans="1:10" x14ac:dyDescent="0.2">
      <c r="A47" s="436"/>
      <c r="B47" s="540"/>
      <c r="C47" s="240" t="s">
        <v>6</v>
      </c>
      <c r="D47" s="219">
        <v>79</v>
      </c>
      <c r="E47" s="241" t="s">
        <v>6</v>
      </c>
      <c r="F47" s="219">
        <v>2</v>
      </c>
      <c r="G47" s="240" t="s">
        <v>354</v>
      </c>
      <c r="H47" s="231">
        <v>51</v>
      </c>
      <c r="I47" s="453"/>
      <c r="J47" s="203" t="s">
        <v>50</v>
      </c>
    </row>
    <row r="48" spans="1:10" ht="16" thickBot="1" x14ac:dyDescent="0.25">
      <c r="A48" s="436"/>
      <c r="B48" s="540"/>
      <c r="C48" s="242" t="s">
        <v>7</v>
      </c>
      <c r="D48" s="222">
        <v>10</v>
      </c>
      <c r="E48" s="243" t="s">
        <v>7</v>
      </c>
      <c r="F48" s="222">
        <v>2</v>
      </c>
      <c r="G48" s="242" t="s">
        <v>353</v>
      </c>
      <c r="H48" s="223">
        <v>12</v>
      </c>
      <c r="I48" s="453"/>
      <c r="J48" s="202" t="s">
        <v>51</v>
      </c>
    </row>
    <row r="49" spans="1:10" ht="16" thickBot="1" x14ac:dyDescent="0.25">
      <c r="A49" s="436"/>
      <c r="B49" s="540"/>
      <c r="C49" s="520" t="s">
        <v>0</v>
      </c>
      <c r="D49" s="521"/>
      <c r="E49" s="244" t="s">
        <v>267</v>
      </c>
      <c r="F49" s="230">
        <v>44</v>
      </c>
      <c r="G49" s="244" t="s">
        <v>268</v>
      </c>
      <c r="H49" s="206">
        <v>25</v>
      </c>
      <c r="I49" s="453"/>
      <c r="J49" s="202" t="s">
        <v>49</v>
      </c>
    </row>
    <row r="50" spans="1:10" x14ac:dyDescent="0.2">
      <c r="A50" s="436"/>
      <c r="B50" s="540"/>
      <c r="C50" s="522" t="s">
        <v>262</v>
      </c>
      <c r="D50" s="322"/>
      <c r="E50" s="322"/>
      <c r="F50" s="322"/>
      <c r="G50" s="322"/>
      <c r="H50" s="323"/>
      <c r="I50" s="453"/>
      <c r="J50" s="202" t="s">
        <v>50</v>
      </c>
    </row>
    <row r="51" spans="1:10" x14ac:dyDescent="0.2">
      <c r="A51" s="436"/>
      <c r="B51" s="540"/>
      <c r="C51" s="213" t="s">
        <v>263</v>
      </c>
      <c r="D51" s="214" t="s">
        <v>132</v>
      </c>
      <c r="E51" s="214" t="s">
        <v>264</v>
      </c>
      <c r="F51" s="214" t="s">
        <v>22</v>
      </c>
      <c r="G51" s="214" t="s">
        <v>259</v>
      </c>
      <c r="H51" s="215" t="s">
        <v>97</v>
      </c>
      <c r="I51" s="453"/>
      <c r="J51" s="204" t="s">
        <v>57</v>
      </c>
    </row>
    <row r="52" spans="1:10" ht="16" thickBot="1" x14ac:dyDescent="0.25">
      <c r="A52" s="436"/>
      <c r="B52" s="540"/>
      <c r="C52" s="168">
        <v>64</v>
      </c>
      <c r="D52" s="219">
        <v>11</v>
      </c>
      <c r="E52" s="212">
        <v>0</v>
      </c>
      <c r="F52" s="219">
        <v>0</v>
      </c>
      <c r="G52" s="212">
        <v>7</v>
      </c>
      <c r="H52" s="220">
        <v>30</v>
      </c>
      <c r="I52" s="453"/>
      <c r="J52" s="201" t="s">
        <v>47</v>
      </c>
    </row>
    <row r="53" spans="1:10" x14ac:dyDescent="0.2">
      <c r="A53" s="436"/>
      <c r="B53" s="540"/>
      <c r="C53" s="522" t="s">
        <v>265</v>
      </c>
      <c r="D53" s="322"/>
      <c r="E53" s="322"/>
      <c r="F53" s="322"/>
      <c r="G53" s="322"/>
      <c r="H53" s="323"/>
      <c r="I53" s="453"/>
      <c r="J53" s="202" t="s">
        <v>48</v>
      </c>
    </row>
    <row r="54" spans="1:10" x14ac:dyDescent="0.2">
      <c r="A54" s="436"/>
      <c r="B54" s="540"/>
      <c r="C54" s="213" t="s">
        <v>263</v>
      </c>
      <c r="D54" s="214" t="s">
        <v>132</v>
      </c>
      <c r="E54" s="214" t="s">
        <v>264</v>
      </c>
      <c r="F54" s="214" t="s">
        <v>22</v>
      </c>
      <c r="G54" s="214" t="s">
        <v>259</v>
      </c>
      <c r="H54" s="215" t="s">
        <v>97</v>
      </c>
      <c r="I54" s="453"/>
      <c r="J54" s="202" t="s">
        <v>49</v>
      </c>
    </row>
    <row r="55" spans="1:10" ht="16" thickBot="1" x14ac:dyDescent="0.25">
      <c r="A55" s="436"/>
      <c r="B55" s="540"/>
      <c r="C55" s="245">
        <v>692</v>
      </c>
      <c r="D55" s="219">
        <v>113</v>
      </c>
      <c r="E55" s="212">
        <v>0</v>
      </c>
      <c r="F55" s="219">
        <v>0</v>
      </c>
      <c r="G55" s="212">
        <v>74</v>
      </c>
      <c r="H55" s="220">
        <v>332</v>
      </c>
      <c r="I55" s="453"/>
      <c r="J55" s="203" t="s">
        <v>50</v>
      </c>
    </row>
    <row r="56" spans="1:10" x14ac:dyDescent="0.2">
      <c r="A56" s="436"/>
      <c r="B56" s="540"/>
      <c r="C56" s="426" t="s">
        <v>1</v>
      </c>
      <c r="D56" s="424"/>
      <c r="E56" s="424"/>
      <c r="F56" s="424"/>
      <c r="G56" s="424"/>
      <c r="H56" s="425"/>
      <c r="I56" s="453"/>
      <c r="J56" s="202" t="s">
        <v>51</v>
      </c>
    </row>
    <row r="57" spans="1:10" x14ac:dyDescent="0.2">
      <c r="A57" s="436"/>
      <c r="B57" s="540"/>
      <c r="C57" s="213" t="s">
        <v>266</v>
      </c>
      <c r="D57" s="214" t="s">
        <v>45</v>
      </c>
      <c r="E57" s="214" t="s">
        <v>15</v>
      </c>
      <c r="F57" s="214" t="s">
        <v>14</v>
      </c>
      <c r="G57" s="214" t="s">
        <v>42</v>
      </c>
      <c r="H57" s="215" t="s">
        <v>44</v>
      </c>
      <c r="I57" s="453"/>
      <c r="J57" s="202" t="s">
        <v>49</v>
      </c>
    </row>
    <row r="58" spans="1:10" ht="16" thickBot="1" x14ac:dyDescent="0.25">
      <c r="A58" s="436"/>
      <c r="B58" s="541"/>
      <c r="C58" s="186">
        <v>0</v>
      </c>
      <c r="D58" s="221">
        <v>17</v>
      </c>
      <c r="E58" s="222">
        <v>13</v>
      </c>
      <c r="F58" s="221">
        <v>11</v>
      </c>
      <c r="G58" s="222">
        <v>1</v>
      </c>
      <c r="H58" s="223">
        <v>5</v>
      </c>
      <c r="I58" s="453"/>
      <c r="J58" s="202" t="s">
        <v>50</v>
      </c>
    </row>
    <row r="59" spans="1:10" x14ac:dyDescent="0.2">
      <c r="A59" s="436"/>
      <c r="B59" s="426" t="s">
        <v>23</v>
      </c>
      <c r="C59" s="424"/>
      <c r="D59" s="424"/>
      <c r="E59" s="424"/>
      <c r="F59" s="424"/>
      <c r="G59" s="424"/>
      <c r="H59" s="425"/>
      <c r="I59" s="453"/>
      <c r="J59" s="204" t="s">
        <v>54</v>
      </c>
    </row>
    <row r="60" spans="1:10" x14ac:dyDescent="0.2">
      <c r="A60" s="436"/>
      <c r="B60" s="213" t="s">
        <v>24</v>
      </c>
      <c r="C60" s="214" t="s">
        <v>25</v>
      </c>
      <c r="D60" s="214" t="s">
        <v>28</v>
      </c>
      <c r="E60" s="214" t="s">
        <v>26</v>
      </c>
      <c r="F60" s="214" t="s">
        <v>30</v>
      </c>
      <c r="G60" s="214" t="s">
        <v>27</v>
      </c>
      <c r="H60" s="215" t="s">
        <v>29</v>
      </c>
      <c r="I60" s="453"/>
      <c r="J60" s="201" t="s">
        <v>47</v>
      </c>
    </row>
    <row r="61" spans="1:10" x14ac:dyDescent="0.2">
      <c r="A61" s="436"/>
      <c r="B61" s="238" t="s">
        <v>31</v>
      </c>
      <c r="C61" s="212">
        <v>5.75</v>
      </c>
      <c r="D61" s="234">
        <v>12.75</v>
      </c>
      <c r="E61" s="212">
        <v>0</v>
      </c>
      <c r="F61" s="234">
        <v>0</v>
      </c>
      <c r="G61" s="212">
        <v>0.25</v>
      </c>
      <c r="H61" s="231">
        <v>1</v>
      </c>
      <c r="I61" s="453"/>
      <c r="J61" s="202" t="s">
        <v>48</v>
      </c>
    </row>
    <row r="62" spans="1:10" x14ac:dyDescent="0.2">
      <c r="A62" s="436"/>
      <c r="B62" s="240" t="s">
        <v>32</v>
      </c>
      <c r="C62" s="219">
        <v>11.5</v>
      </c>
      <c r="D62" s="246">
        <v>9.5</v>
      </c>
      <c r="E62" s="219">
        <v>0</v>
      </c>
      <c r="F62" s="246">
        <v>0</v>
      </c>
      <c r="G62" s="219">
        <v>0</v>
      </c>
      <c r="H62" s="220">
        <v>0</v>
      </c>
      <c r="I62" s="453"/>
      <c r="J62" s="202" t="s">
        <v>49</v>
      </c>
    </row>
    <row r="63" spans="1:10" x14ac:dyDescent="0.2">
      <c r="A63" s="436"/>
      <c r="B63" s="240" t="s">
        <v>33</v>
      </c>
      <c r="C63" s="212">
        <v>0</v>
      </c>
      <c r="D63" s="247">
        <v>0</v>
      </c>
      <c r="E63" s="212">
        <v>0</v>
      </c>
      <c r="F63" s="247">
        <v>0</v>
      </c>
      <c r="G63" s="212">
        <v>0</v>
      </c>
      <c r="H63" s="231">
        <v>0</v>
      </c>
      <c r="I63" s="453"/>
      <c r="J63" s="203" t="s">
        <v>50</v>
      </c>
    </row>
    <row r="64" spans="1:10" x14ac:dyDescent="0.2">
      <c r="A64" s="436"/>
      <c r="B64" s="240" t="s">
        <v>34</v>
      </c>
      <c r="C64" s="219">
        <v>0</v>
      </c>
      <c r="D64" s="246">
        <v>0</v>
      </c>
      <c r="E64" s="219">
        <v>0</v>
      </c>
      <c r="F64" s="246">
        <v>0</v>
      </c>
      <c r="G64" s="219">
        <v>0</v>
      </c>
      <c r="H64" s="220">
        <v>0</v>
      </c>
      <c r="I64" s="453"/>
      <c r="J64" s="202" t="s">
        <v>51</v>
      </c>
    </row>
    <row r="65" spans="1:10" x14ac:dyDescent="0.2">
      <c r="A65" s="436"/>
      <c r="B65" s="240" t="s">
        <v>35</v>
      </c>
      <c r="C65" s="212">
        <v>0</v>
      </c>
      <c r="D65" s="247">
        <v>0</v>
      </c>
      <c r="E65" s="212">
        <v>0</v>
      </c>
      <c r="F65" s="247">
        <v>0</v>
      </c>
      <c r="G65" s="212">
        <v>0</v>
      </c>
      <c r="H65" s="231">
        <v>0</v>
      </c>
      <c r="I65" s="453"/>
      <c r="J65" s="202" t="s">
        <v>49</v>
      </c>
    </row>
    <row r="66" spans="1:10" x14ac:dyDescent="0.2">
      <c r="A66" s="436"/>
      <c r="B66" s="240" t="s">
        <v>36</v>
      </c>
      <c r="C66" s="219">
        <v>0</v>
      </c>
      <c r="D66" s="246">
        <v>0</v>
      </c>
      <c r="E66" s="219">
        <v>0</v>
      </c>
      <c r="F66" s="246">
        <v>0</v>
      </c>
      <c r="G66" s="219">
        <v>0</v>
      </c>
      <c r="H66" s="220">
        <v>0</v>
      </c>
      <c r="I66" s="453"/>
      <c r="J66" s="202" t="s">
        <v>50</v>
      </c>
    </row>
    <row r="67" spans="1:10" x14ac:dyDescent="0.2">
      <c r="A67" s="436"/>
      <c r="B67" s="240" t="s">
        <v>37</v>
      </c>
      <c r="C67" s="212">
        <v>0</v>
      </c>
      <c r="D67" s="247">
        <v>0</v>
      </c>
      <c r="E67" s="212">
        <v>0</v>
      </c>
      <c r="F67" s="247">
        <v>0</v>
      </c>
      <c r="G67" s="212">
        <v>0.25</v>
      </c>
      <c r="H67" s="231">
        <v>8</v>
      </c>
      <c r="I67" s="453"/>
      <c r="J67" s="204" t="s">
        <v>55</v>
      </c>
    </row>
    <row r="68" spans="1:10" x14ac:dyDescent="0.2">
      <c r="A68" s="436"/>
      <c r="B68" s="240" t="s">
        <v>38</v>
      </c>
      <c r="C68" s="219">
        <v>0</v>
      </c>
      <c r="D68" s="246">
        <v>0</v>
      </c>
      <c r="E68" s="219">
        <v>0</v>
      </c>
      <c r="F68" s="246">
        <v>0</v>
      </c>
      <c r="G68" s="219">
        <v>0</v>
      </c>
      <c r="H68" s="220">
        <v>0</v>
      </c>
      <c r="I68" s="453"/>
      <c r="J68" s="201" t="s">
        <v>47</v>
      </c>
    </row>
    <row r="69" spans="1:10" x14ac:dyDescent="0.2">
      <c r="A69" s="40"/>
      <c r="B69" s="240" t="s">
        <v>39</v>
      </c>
      <c r="C69" s="212">
        <v>0</v>
      </c>
      <c r="D69" s="247">
        <v>0</v>
      </c>
      <c r="E69" s="212">
        <v>0</v>
      </c>
      <c r="F69" s="247">
        <v>0</v>
      </c>
      <c r="G69" s="212">
        <v>0</v>
      </c>
      <c r="H69" s="231">
        <v>0</v>
      </c>
      <c r="I69" s="453"/>
      <c r="J69" s="202" t="s">
        <v>48</v>
      </c>
    </row>
    <row r="70" spans="1:10" ht="16" thickBot="1" x14ac:dyDescent="0.25">
      <c r="A70" s="40"/>
      <c r="B70" s="242" t="s">
        <v>40</v>
      </c>
      <c r="C70" s="221">
        <v>0</v>
      </c>
      <c r="D70" s="248">
        <v>0</v>
      </c>
      <c r="E70" s="221">
        <v>0</v>
      </c>
      <c r="F70" s="248">
        <v>0</v>
      </c>
      <c r="G70" s="221">
        <v>0</v>
      </c>
      <c r="H70" s="223">
        <v>0</v>
      </c>
      <c r="I70" s="453"/>
      <c r="J70" s="202" t="s">
        <v>49</v>
      </c>
    </row>
    <row r="71" spans="1:10" x14ac:dyDescent="0.2">
      <c r="A71" s="40"/>
      <c r="B71" s="38"/>
      <c r="C71" s="38"/>
      <c r="D71" s="38"/>
      <c r="E71" s="38"/>
      <c r="F71" s="38"/>
      <c r="G71" s="38"/>
      <c r="H71" s="41"/>
      <c r="I71" s="453"/>
      <c r="J71" s="203" t="s">
        <v>50</v>
      </c>
    </row>
    <row r="72" spans="1:10" x14ac:dyDescent="0.2">
      <c r="A72" s="40"/>
      <c r="B72" s="38"/>
      <c r="C72" s="38"/>
      <c r="D72" s="38"/>
      <c r="E72" s="38"/>
      <c r="F72" s="38"/>
      <c r="G72" s="38"/>
      <c r="H72" s="41"/>
      <c r="I72" s="453"/>
      <c r="J72" s="202" t="s">
        <v>51</v>
      </c>
    </row>
    <row r="73" spans="1:10" x14ac:dyDescent="0.2">
      <c r="A73" s="40"/>
      <c r="B73" s="38"/>
      <c r="C73" s="38"/>
      <c r="D73" s="38"/>
      <c r="E73" s="38"/>
      <c r="F73" s="38"/>
      <c r="G73" s="38"/>
      <c r="H73" s="41"/>
      <c r="I73" s="453"/>
      <c r="J73" s="202" t="s">
        <v>49</v>
      </c>
    </row>
    <row r="74" spans="1:10" ht="16" thickBot="1" x14ac:dyDescent="0.25">
      <c r="A74" s="42"/>
      <c r="B74" s="43"/>
      <c r="C74" s="43"/>
      <c r="D74" s="43"/>
      <c r="E74" s="43"/>
      <c r="F74" s="43"/>
      <c r="G74" s="43"/>
      <c r="H74" s="44"/>
      <c r="I74" s="454"/>
      <c r="J74" s="205" t="s">
        <v>50</v>
      </c>
    </row>
  </sheetData>
  <mergeCells count="33">
    <mergeCell ref="I43:I74"/>
    <mergeCell ref="C44:F44"/>
    <mergeCell ref="C50:H50"/>
    <mergeCell ref="C53:H53"/>
    <mergeCell ref="B59:H59"/>
    <mergeCell ref="C14:H14"/>
    <mergeCell ref="C17:H17"/>
    <mergeCell ref="C20:H20"/>
    <mergeCell ref="B23:H23"/>
    <mergeCell ref="C49:D49"/>
    <mergeCell ref="B39:B58"/>
    <mergeCell ref="C39:H39"/>
    <mergeCell ref="C40:D40"/>
    <mergeCell ref="G40:H40"/>
    <mergeCell ref="E45:F45"/>
    <mergeCell ref="E40:F40"/>
    <mergeCell ref="G44:H45"/>
    <mergeCell ref="G1:I1"/>
    <mergeCell ref="A2:J2"/>
    <mergeCell ref="A3:A68"/>
    <mergeCell ref="B3:B22"/>
    <mergeCell ref="C3:H3"/>
    <mergeCell ref="I3:I42"/>
    <mergeCell ref="C4:D4"/>
    <mergeCell ref="E4:F4"/>
    <mergeCell ref="G4:H4"/>
    <mergeCell ref="C8:F8"/>
    <mergeCell ref="G8:H9"/>
    <mergeCell ref="C9:D9"/>
    <mergeCell ref="C56:H56"/>
    <mergeCell ref="E9:F9"/>
    <mergeCell ref="C13:D13"/>
    <mergeCell ref="C45:D45"/>
  </mergeCells>
  <pageMargins left="0.7" right="0.7" top="0.75" bottom="0.75" header="0.3" footer="0.3"/>
  <pageSetup paperSize="5" scale="77"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0CAD-5EC9-4F0F-833F-1474EA03558D}">
  <sheetPr codeName="Sheet7">
    <tabColor theme="9"/>
    <pageSetUpPr fitToPage="1"/>
  </sheetPr>
  <dimension ref="A1:X92"/>
  <sheetViews>
    <sheetView workbookViewId="0">
      <selection activeCell="G22" sqref="G22"/>
    </sheetView>
  </sheetViews>
  <sheetFormatPr baseColWidth="10" defaultColWidth="8.83203125" defaultRowHeight="15" x14ac:dyDescent="0.2"/>
  <cols>
    <col min="1" max="1" width="3.6640625" customWidth="1"/>
    <col min="2" max="2" width="8.5" bestFit="1" customWidth="1"/>
    <col min="3" max="3" width="12.5" bestFit="1" customWidth="1"/>
    <col min="4" max="4" width="9.83203125" bestFit="1" customWidth="1"/>
    <col min="5" max="5" width="14" bestFit="1" customWidth="1"/>
    <col min="6" max="6" width="10.33203125" bestFit="1" customWidth="1"/>
    <col min="7" max="7" width="17.5" bestFit="1" customWidth="1"/>
    <col min="8" max="8" width="11.83203125" bestFit="1" customWidth="1"/>
    <col min="10" max="10" width="10.33203125" bestFit="1" customWidth="1"/>
  </cols>
  <sheetData>
    <row r="1" spans="1:21" ht="16" thickBot="1" x14ac:dyDescent="0.25">
      <c r="A1" s="180"/>
      <c r="B1" s="142"/>
      <c r="C1" s="142"/>
      <c r="D1" s="142"/>
      <c r="E1" s="142"/>
      <c r="F1" s="142"/>
      <c r="G1" s="513" t="s">
        <v>375</v>
      </c>
      <c r="H1" s="513"/>
      <c r="I1" s="513"/>
      <c r="J1" s="145"/>
      <c r="K1" s="144"/>
      <c r="L1" s="144"/>
      <c r="M1" s="144"/>
      <c r="N1" s="144"/>
      <c r="O1" s="144"/>
      <c r="P1" s="144"/>
      <c r="Q1" s="144"/>
      <c r="R1" s="142"/>
      <c r="S1" s="142"/>
      <c r="T1" s="143"/>
    </row>
    <row r="2" spans="1:21" ht="16" thickBot="1" x14ac:dyDescent="0.25">
      <c r="A2" s="414" t="s">
        <v>4</v>
      </c>
      <c r="B2" s="415"/>
      <c r="C2" s="415"/>
      <c r="D2" s="415"/>
      <c r="E2" s="415"/>
      <c r="F2" s="415"/>
      <c r="G2" s="415"/>
      <c r="H2" s="415"/>
      <c r="I2" s="415"/>
      <c r="J2" s="415"/>
      <c r="K2" s="415"/>
      <c r="L2" s="415"/>
      <c r="M2" s="415"/>
      <c r="N2" s="415"/>
      <c r="O2" s="415"/>
      <c r="P2" s="415"/>
      <c r="Q2" s="415"/>
      <c r="R2" s="415"/>
      <c r="S2" s="415"/>
      <c r="T2" s="462"/>
    </row>
    <row r="3" spans="1:21" ht="15" customHeight="1" x14ac:dyDescent="0.2">
      <c r="A3" s="416"/>
      <c r="B3" s="546" t="s">
        <v>58</v>
      </c>
      <c r="C3" s="411" t="s">
        <v>376</v>
      </c>
      <c r="D3" s="409"/>
      <c r="E3" s="409"/>
      <c r="F3" s="409"/>
      <c r="G3" s="409"/>
      <c r="H3" s="410"/>
      <c r="I3" s="466" t="s">
        <v>59</v>
      </c>
      <c r="J3" s="411" t="s">
        <v>46</v>
      </c>
      <c r="K3" s="409"/>
      <c r="L3" s="409"/>
      <c r="M3" s="409"/>
      <c r="N3" s="409"/>
      <c r="O3" s="409"/>
      <c r="P3" s="409"/>
      <c r="Q3" s="409"/>
      <c r="R3" s="409"/>
      <c r="S3" s="409"/>
      <c r="T3" s="410"/>
      <c r="U3" s="97"/>
    </row>
    <row r="4" spans="1:21" ht="30" customHeight="1" x14ac:dyDescent="0.2">
      <c r="A4" s="416"/>
      <c r="B4" s="547"/>
      <c r="C4" s="529" t="s">
        <v>432</v>
      </c>
      <c r="D4" s="530"/>
      <c r="E4" s="530" t="s">
        <v>433</v>
      </c>
      <c r="F4" s="530"/>
      <c r="G4" s="530" t="s">
        <v>434</v>
      </c>
      <c r="H4" s="531"/>
      <c r="I4" s="467"/>
      <c r="J4" s="21" t="s">
        <v>47</v>
      </c>
      <c r="T4" s="2"/>
      <c r="U4" s="97"/>
    </row>
    <row r="5" spans="1:21" x14ac:dyDescent="0.2">
      <c r="A5" s="416"/>
      <c r="B5" s="547"/>
      <c r="C5" s="21" t="s">
        <v>425</v>
      </c>
      <c r="D5" s="165"/>
      <c r="E5" s="24" t="s">
        <v>263</v>
      </c>
      <c r="F5" s="165"/>
      <c r="G5" s="24" t="s">
        <v>5</v>
      </c>
      <c r="H5" s="164"/>
      <c r="I5" s="467"/>
      <c r="J5" s="22" t="s">
        <v>48</v>
      </c>
      <c r="K5" s="30"/>
      <c r="L5" s="30"/>
      <c r="M5" s="30"/>
      <c r="N5" s="30"/>
      <c r="O5" s="30"/>
      <c r="P5" s="30"/>
      <c r="Q5" s="30"/>
      <c r="R5" s="30"/>
      <c r="S5" s="30"/>
      <c r="T5" s="31"/>
      <c r="U5" s="97"/>
    </row>
    <row r="6" spans="1:21" x14ac:dyDescent="0.2">
      <c r="A6" s="416"/>
      <c r="B6" s="547"/>
      <c r="C6" s="22" t="s">
        <v>6</v>
      </c>
      <c r="D6" s="30"/>
      <c r="E6" s="25" t="s">
        <v>329</v>
      </c>
      <c r="F6" s="30"/>
      <c r="G6" s="25" t="s">
        <v>6</v>
      </c>
      <c r="H6" s="31"/>
      <c r="I6" s="467"/>
      <c r="J6" s="22" t="s">
        <v>49</v>
      </c>
      <c r="T6" s="2"/>
      <c r="U6" s="97"/>
    </row>
    <row r="7" spans="1:21" ht="16" thickBot="1" x14ac:dyDescent="0.25">
      <c r="A7" s="416"/>
      <c r="B7" s="547"/>
      <c r="C7" s="23" t="s">
        <v>424</v>
      </c>
      <c r="D7" s="4"/>
      <c r="E7" s="26" t="s">
        <v>7</v>
      </c>
      <c r="F7" s="4"/>
      <c r="G7" s="26" t="s">
        <v>7</v>
      </c>
      <c r="H7" s="5"/>
      <c r="I7" s="467"/>
      <c r="J7" s="101" t="s">
        <v>50</v>
      </c>
      <c r="K7" s="99"/>
      <c r="L7" s="99"/>
      <c r="M7" s="99"/>
      <c r="N7" s="99"/>
      <c r="O7" s="99"/>
      <c r="P7" s="99"/>
      <c r="Q7" s="99"/>
      <c r="R7" s="99"/>
      <c r="S7" s="99"/>
      <c r="T7" s="100"/>
      <c r="U7" s="97"/>
    </row>
    <row r="8" spans="1:21" x14ac:dyDescent="0.2">
      <c r="A8" s="416"/>
      <c r="B8" s="547"/>
      <c r="C8" s="411" t="s">
        <v>12</v>
      </c>
      <c r="D8" s="409"/>
      <c r="E8" s="409"/>
      <c r="F8" s="409"/>
      <c r="G8" s="525" t="s">
        <v>2</v>
      </c>
      <c r="H8" s="321"/>
      <c r="I8" s="467"/>
      <c r="J8" s="22" t="s">
        <v>51</v>
      </c>
      <c r="T8" s="2"/>
      <c r="U8" s="97"/>
    </row>
    <row r="9" spans="1:21" x14ac:dyDescent="0.2">
      <c r="A9" s="416"/>
      <c r="B9" s="547"/>
      <c r="C9" s="532" t="s">
        <v>426</v>
      </c>
      <c r="D9" s="533"/>
      <c r="E9" s="533" t="s">
        <v>427</v>
      </c>
      <c r="F9" s="533"/>
      <c r="G9" s="544"/>
      <c r="H9" s="545"/>
      <c r="I9" s="467"/>
      <c r="J9" s="22" t="s">
        <v>49</v>
      </c>
      <c r="K9" s="30"/>
      <c r="L9" s="30"/>
      <c r="M9" s="30"/>
      <c r="N9" s="30"/>
      <c r="O9" s="30"/>
      <c r="P9" s="30"/>
      <c r="Q9" s="30"/>
      <c r="R9" s="30"/>
      <c r="S9" s="30"/>
      <c r="T9" s="31"/>
      <c r="U9" s="97"/>
    </row>
    <row r="10" spans="1:21" x14ac:dyDescent="0.2">
      <c r="A10" s="416"/>
      <c r="B10" s="547"/>
      <c r="C10" s="22" t="s">
        <v>425</v>
      </c>
      <c r="E10" s="25" t="s">
        <v>425</v>
      </c>
      <c r="G10" s="22" t="s">
        <v>18</v>
      </c>
      <c r="H10" s="31"/>
      <c r="I10" s="467"/>
      <c r="J10" s="22" t="s">
        <v>50</v>
      </c>
      <c r="T10" s="2"/>
      <c r="U10" s="97"/>
    </row>
    <row r="11" spans="1:21" x14ac:dyDescent="0.2">
      <c r="A11" s="416"/>
      <c r="B11" s="547"/>
      <c r="C11" s="22" t="s">
        <v>6</v>
      </c>
      <c r="D11" s="30"/>
      <c r="E11" s="25" t="s">
        <v>6</v>
      </c>
      <c r="F11" s="30"/>
      <c r="G11" s="22" t="s">
        <v>19</v>
      </c>
      <c r="H11" s="2"/>
      <c r="I11" s="467"/>
      <c r="J11" s="470" t="s">
        <v>52</v>
      </c>
      <c r="K11" s="471"/>
      <c r="L11" s="471"/>
      <c r="M11" s="471"/>
      <c r="N11" s="471"/>
      <c r="O11" s="471"/>
      <c r="P11" s="471"/>
      <c r="Q11" s="471"/>
      <c r="R11" s="471"/>
      <c r="S11" s="471"/>
      <c r="T11" s="472"/>
      <c r="U11" s="97"/>
    </row>
    <row r="12" spans="1:21" ht="16" thickBot="1" x14ac:dyDescent="0.25">
      <c r="A12" s="416"/>
      <c r="B12" s="547"/>
      <c r="C12" s="23" t="s">
        <v>7</v>
      </c>
      <c r="D12" s="4"/>
      <c r="E12" s="26" t="s">
        <v>7</v>
      </c>
      <c r="F12" s="4"/>
      <c r="G12" s="23" t="s">
        <v>20</v>
      </c>
      <c r="H12" s="33"/>
      <c r="I12" s="467"/>
      <c r="J12" s="21" t="s">
        <v>47</v>
      </c>
      <c r="T12" s="2"/>
      <c r="U12" s="97"/>
    </row>
    <row r="13" spans="1:21" ht="16" thickBot="1" x14ac:dyDescent="0.25">
      <c r="A13" s="416"/>
      <c r="B13" s="547"/>
      <c r="C13" s="523" t="s">
        <v>0</v>
      </c>
      <c r="D13" s="524"/>
      <c r="E13" s="133" t="s">
        <v>267</v>
      </c>
      <c r="F13" s="135"/>
      <c r="G13" s="133" t="s">
        <v>268</v>
      </c>
      <c r="H13" s="134"/>
      <c r="I13" s="467"/>
      <c r="J13" s="22" t="s">
        <v>48</v>
      </c>
      <c r="K13" s="30"/>
      <c r="L13" s="30"/>
      <c r="M13" s="30"/>
      <c r="N13" s="30"/>
      <c r="O13" s="30"/>
      <c r="P13" s="30"/>
      <c r="Q13" s="30"/>
      <c r="R13" s="30"/>
      <c r="S13" s="30"/>
      <c r="T13" s="31"/>
      <c r="U13" s="97"/>
    </row>
    <row r="14" spans="1:21" x14ac:dyDescent="0.2">
      <c r="A14" s="416"/>
      <c r="B14" s="547"/>
      <c r="C14" s="525" t="s">
        <v>262</v>
      </c>
      <c r="D14" s="320"/>
      <c r="E14" s="320"/>
      <c r="F14" s="320"/>
      <c r="G14" s="320"/>
      <c r="H14" s="321"/>
      <c r="I14" s="467"/>
      <c r="J14" s="22" t="s">
        <v>49</v>
      </c>
      <c r="T14" s="2"/>
      <c r="U14" s="97"/>
    </row>
    <row r="15" spans="1:21" x14ac:dyDescent="0.2">
      <c r="A15" s="416"/>
      <c r="B15" s="547"/>
      <c r="C15" s="27" t="s">
        <v>263</v>
      </c>
      <c r="D15" s="28" t="s">
        <v>132</v>
      </c>
      <c r="E15" s="28" t="s">
        <v>264</v>
      </c>
      <c r="F15" s="28" t="s">
        <v>22</v>
      </c>
      <c r="G15" s="28" t="s">
        <v>259</v>
      </c>
      <c r="H15" s="29" t="s">
        <v>97</v>
      </c>
      <c r="I15" s="467"/>
      <c r="J15" s="101" t="s">
        <v>50</v>
      </c>
      <c r="K15" s="99"/>
      <c r="L15" s="99"/>
      <c r="M15" s="99"/>
      <c r="N15" s="99"/>
      <c r="O15" s="99"/>
      <c r="P15" s="99"/>
      <c r="Q15" s="99"/>
      <c r="R15" s="99"/>
      <c r="S15" s="99"/>
      <c r="T15" s="100"/>
      <c r="U15" s="97"/>
    </row>
    <row r="16" spans="1:21" ht="16" thickBot="1" x14ac:dyDescent="0.25">
      <c r="A16" s="416"/>
      <c r="B16" s="547"/>
      <c r="C16" s="1"/>
      <c r="D16" s="30"/>
      <c r="F16" s="30"/>
      <c r="H16" s="31"/>
      <c r="I16" s="467"/>
      <c r="J16" s="22" t="s">
        <v>51</v>
      </c>
      <c r="T16" s="2"/>
      <c r="U16" s="97"/>
    </row>
    <row r="17" spans="1:21" x14ac:dyDescent="0.2">
      <c r="A17" s="416"/>
      <c r="B17" s="547"/>
      <c r="C17" s="525" t="s">
        <v>265</v>
      </c>
      <c r="D17" s="320"/>
      <c r="E17" s="320"/>
      <c r="F17" s="320"/>
      <c r="G17" s="320"/>
      <c r="H17" s="321"/>
      <c r="I17" s="467"/>
      <c r="J17" s="22" t="s">
        <v>49</v>
      </c>
      <c r="K17" s="30"/>
      <c r="L17" s="30"/>
      <c r="M17" s="30"/>
      <c r="N17" s="30"/>
      <c r="O17" s="30"/>
      <c r="P17" s="30"/>
      <c r="Q17" s="30"/>
      <c r="R17" s="30"/>
      <c r="S17" s="30"/>
      <c r="T17" s="31"/>
      <c r="U17" s="97"/>
    </row>
    <row r="18" spans="1:21" x14ac:dyDescent="0.2">
      <c r="A18" s="416"/>
      <c r="B18" s="547"/>
      <c r="C18" s="27" t="s">
        <v>263</v>
      </c>
      <c r="D18" s="28" t="s">
        <v>132</v>
      </c>
      <c r="E18" s="28" t="s">
        <v>264</v>
      </c>
      <c r="F18" s="28" t="s">
        <v>22</v>
      </c>
      <c r="G18" s="28" t="s">
        <v>259</v>
      </c>
      <c r="H18" s="29" t="s">
        <v>97</v>
      </c>
      <c r="I18" s="467"/>
      <c r="J18" s="22" t="s">
        <v>50</v>
      </c>
      <c r="T18" s="2"/>
      <c r="U18" s="97"/>
    </row>
    <row r="19" spans="1:21" ht="16" thickBot="1" x14ac:dyDescent="0.25">
      <c r="A19" s="416"/>
      <c r="B19" s="547"/>
      <c r="C19" s="160"/>
      <c r="D19" s="30"/>
      <c r="F19" s="30"/>
      <c r="H19" s="31"/>
      <c r="I19" s="467"/>
      <c r="J19" s="470" t="s">
        <v>53</v>
      </c>
      <c r="K19" s="471"/>
      <c r="L19" s="471"/>
      <c r="M19" s="471"/>
      <c r="N19" s="471"/>
      <c r="O19" s="471"/>
      <c r="P19" s="471"/>
      <c r="Q19" s="471"/>
      <c r="R19" s="471"/>
      <c r="S19" s="471"/>
      <c r="T19" s="472"/>
      <c r="U19" s="97"/>
    </row>
    <row r="20" spans="1:21" x14ac:dyDescent="0.2">
      <c r="A20" s="416"/>
      <c r="B20" s="547"/>
      <c r="C20" s="411" t="s">
        <v>1</v>
      </c>
      <c r="D20" s="409"/>
      <c r="E20" s="409"/>
      <c r="F20" s="409"/>
      <c r="G20" s="409"/>
      <c r="H20" s="410"/>
      <c r="I20" s="467"/>
      <c r="J20" s="21" t="s">
        <v>47</v>
      </c>
      <c r="T20" s="2"/>
      <c r="U20" s="97"/>
    </row>
    <row r="21" spans="1:21" x14ac:dyDescent="0.2">
      <c r="A21" s="416"/>
      <c r="B21" s="547"/>
      <c r="C21" s="18" t="s">
        <v>266</v>
      </c>
      <c r="D21" s="19" t="s">
        <v>45</v>
      </c>
      <c r="E21" s="19" t="s">
        <v>15</v>
      </c>
      <c r="F21" s="19" t="s">
        <v>14</v>
      </c>
      <c r="G21" s="19" t="s">
        <v>41</v>
      </c>
      <c r="H21" s="20" t="s">
        <v>43</v>
      </c>
      <c r="I21" s="467"/>
      <c r="J21" s="22" t="s">
        <v>48</v>
      </c>
      <c r="K21" s="30"/>
      <c r="L21" s="30"/>
      <c r="M21" s="30"/>
      <c r="N21" s="30"/>
      <c r="O21" s="30"/>
      <c r="P21" s="30"/>
      <c r="Q21" s="30"/>
      <c r="R21" s="30"/>
      <c r="S21" s="30"/>
      <c r="T21" s="31"/>
      <c r="U21" s="97"/>
    </row>
    <row r="22" spans="1:21" ht="16" thickBot="1" x14ac:dyDescent="0.25">
      <c r="A22" s="416"/>
      <c r="B22" s="548"/>
      <c r="C22" s="3"/>
      <c r="D22" s="32"/>
      <c r="E22" s="4"/>
      <c r="F22" s="32"/>
      <c r="G22" s="4"/>
      <c r="H22" s="33"/>
      <c r="I22" s="467"/>
      <c r="J22" s="22" t="s">
        <v>49</v>
      </c>
      <c r="T22" s="2"/>
      <c r="U22" s="97"/>
    </row>
    <row r="23" spans="1:21" x14ac:dyDescent="0.2">
      <c r="A23" s="416"/>
      <c r="B23" s="411" t="s">
        <v>430</v>
      </c>
      <c r="C23" s="409"/>
      <c r="D23" s="409"/>
      <c r="E23" s="409"/>
      <c r="F23" s="409"/>
      <c r="G23" s="409"/>
      <c r="H23" s="410"/>
      <c r="I23" s="467"/>
      <c r="J23" s="101" t="s">
        <v>50</v>
      </c>
      <c r="K23" s="99"/>
      <c r="L23" s="99"/>
      <c r="M23" s="99"/>
      <c r="N23" s="99"/>
      <c r="O23" s="99"/>
      <c r="P23" s="99"/>
      <c r="Q23" s="99"/>
      <c r="R23" s="99"/>
      <c r="S23" s="99"/>
      <c r="T23" s="100"/>
      <c r="U23" s="97"/>
    </row>
    <row r="24" spans="1:21" x14ac:dyDescent="0.2">
      <c r="A24" s="416"/>
      <c r="B24" s="18" t="s">
        <v>24</v>
      </c>
      <c r="C24" s="19" t="s">
        <v>25</v>
      </c>
      <c r="D24" s="19" t="s">
        <v>28</v>
      </c>
      <c r="E24" s="19" t="s">
        <v>26</v>
      </c>
      <c r="F24" s="19" t="s">
        <v>30</v>
      </c>
      <c r="G24" s="19" t="s">
        <v>27</v>
      </c>
      <c r="H24" s="20" t="s">
        <v>29</v>
      </c>
      <c r="I24" s="467"/>
      <c r="J24" s="22" t="s">
        <v>51</v>
      </c>
      <c r="T24" s="2"/>
      <c r="U24" s="97"/>
    </row>
    <row r="25" spans="1:21" x14ac:dyDescent="0.2">
      <c r="A25" s="416"/>
      <c r="B25" s="21" t="s">
        <v>31</v>
      </c>
      <c r="D25" s="34"/>
      <c r="F25" s="34"/>
      <c r="H25" s="2"/>
      <c r="I25" s="467"/>
      <c r="J25" s="22" t="s">
        <v>49</v>
      </c>
      <c r="K25" s="30"/>
      <c r="L25" s="30"/>
      <c r="M25" s="30"/>
      <c r="N25" s="30"/>
      <c r="O25" s="30"/>
      <c r="P25" s="30"/>
      <c r="Q25" s="30"/>
      <c r="R25" s="30"/>
      <c r="S25" s="30"/>
      <c r="T25" s="31"/>
      <c r="U25" s="97"/>
    </row>
    <row r="26" spans="1:21" x14ac:dyDescent="0.2">
      <c r="A26" s="416"/>
      <c r="B26" s="22" t="s">
        <v>32</v>
      </c>
      <c r="C26" s="30"/>
      <c r="D26" s="35"/>
      <c r="E26" s="30"/>
      <c r="F26" s="35"/>
      <c r="G26" s="30"/>
      <c r="H26" s="31"/>
      <c r="I26" s="467"/>
      <c r="J26" s="22" t="s">
        <v>50</v>
      </c>
      <c r="T26" s="2"/>
      <c r="U26" s="97"/>
    </row>
    <row r="27" spans="1:21" x14ac:dyDescent="0.2">
      <c r="A27" s="416"/>
      <c r="B27" s="22" t="s">
        <v>33</v>
      </c>
      <c r="D27" s="36"/>
      <c r="F27" s="36"/>
      <c r="H27" s="2"/>
      <c r="I27" s="467"/>
      <c r="J27" s="470" t="s">
        <v>54</v>
      </c>
      <c r="K27" s="471"/>
      <c r="L27" s="471"/>
      <c r="M27" s="471"/>
      <c r="N27" s="471"/>
      <c r="O27" s="471"/>
      <c r="P27" s="471"/>
      <c r="Q27" s="471"/>
      <c r="R27" s="471"/>
      <c r="S27" s="471"/>
      <c r="T27" s="472"/>
      <c r="U27" s="97"/>
    </row>
    <row r="28" spans="1:21" x14ac:dyDescent="0.2">
      <c r="A28" s="416"/>
      <c r="B28" s="22" t="s">
        <v>34</v>
      </c>
      <c r="C28" s="30"/>
      <c r="D28" s="35"/>
      <c r="E28" s="30"/>
      <c r="F28" s="35"/>
      <c r="G28" s="30"/>
      <c r="H28" s="31"/>
      <c r="I28" s="467"/>
      <c r="J28" s="21" t="s">
        <v>47</v>
      </c>
      <c r="T28" s="2"/>
      <c r="U28" s="97"/>
    </row>
    <row r="29" spans="1:21" x14ac:dyDescent="0.2">
      <c r="A29" s="416"/>
      <c r="B29" s="22" t="s">
        <v>35</v>
      </c>
      <c r="D29" s="36"/>
      <c r="F29" s="36"/>
      <c r="H29" s="2"/>
      <c r="I29" s="467"/>
      <c r="J29" s="22" t="s">
        <v>48</v>
      </c>
      <c r="K29" s="30"/>
      <c r="L29" s="30"/>
      <c r="M29" s="30"/>
      <c r="N29" s="30"/>
      <c r="O29" s="30"/>
      <c r="P29" s="30"/>
      <c r="Q29" s="30"/>
      <c r="R29" s="30"/>
      <c r="S29" s="30"/>
      <c r="T29" s="31"/>
      <c r="U29" s="97"/>
    </row>
    <row r="30" spans="1:21" x14ac:dyDescent="0.2">
      <c r="A30" s="416"/>
      <c r="B30" s="22" t="s">
        <v>36</v>
      </c>
      <c r="C30" s="30"/>
      <c r="D30" s="35"/>
      <c r="E30" s="30"/>
      <c r="F30" s="35"/>
      <c r="G30" s="30"/>
      <c r="H30" s="31"/>
      <c r="I30" s="467"/>
      <c r="J30" s="22" t="s">
        <v>49</v>
      </c>
      <c r="T30" s="2"/>
      <c r="U30" s="97"/>
    </row>
    <row r="31" spans="1:21" x14ac:dyDescent="0.2">
      <c r="A31" s="416"/>
      <c r="B31" s="22" t="s">
        <v>37</v>
      </c>
      <c r="D31" s="36"/>
      <c r="F31" s="36"/>
      <c r="H31" s="2"/>
      <c r="I31" s="467"/>
      <c r="J31" s="101" t="s">
        <v>50</v>
      </c>
      <c r="K31" s="99"/>
      <c r="L31" s="99"/>
      <c r="M31" s="99"/>
      <c r="N31" s="99"/>
      <c r="O31" s="99"/>
      <c r="P31" s="99"/>
      <c r="Q31" s="99"/>
      <c r="R31" s="99"/>
      <c r="S31" s="99"/>
      <c r="T31" s="100"/>
      <c r="U31" s="97"/>
    </row>
    <row r="32" spans="1:21" x14ac:dyDescent="0.2">
      <c r="A32" s="416"/>
      <c r="B32" s="22" t="s">
        <v>38</v>
      </c>
      <c r="C32" s="30"/>
      <c r="D32" s="35"/>
      <c r="E32" s="30"/>
      <c r="F32" s="35"/>
      <c r="G32" s="30"/>
      <c r="H32" s="31"/>
      <c r="I32" s="467"/>
      <c r="J32" s="22" t="s">
        <v>51</v>
      </c>
      <c r="T32" s="2"/>
      <c r="U32" s="97"/>
    </row>
    <row r="33" spans="1:24" x14ac:dyDescent="0.2">
      <c r="A33" s="416"/>
      <c r="B33" s="22" t="s">
        <v>39</v>
      </c>
      <c r="D33" s="36"/>
      <c r="F33" s="36"/>
      <c r="H33" s="2"/>
      <c r="I33" s="467"/>
      <c r="J33" s="22" t="s">
        <v>49</v>
      </c>
      <c r="K33" s="30"/>
      <c r="L33" s="30"/>
      <c r="M33" s="30"/>
      <c r="N33" s="30"/>
      <c r="O33" s="30"/>
      <c r="P33" s="30"/>
      <c r="Q33" s="30"/>
      <c r="R33" s="30"/>
      <c r="S33" s="30"/>
      <c r="T33" s="31"/>
      <c r="U33" s="97"/>
    </row>
    <row r="34" spans="1:24" ht="16" thickBot="1" x14ac:dyDescent="0.25">
      <c r="A34" s="416"/>
      <c r="B34" s="23" t="s">
        <v>40</v>
      </c>
      <c r="C34" s="32"/>
      <c r="D34" s="37"/>
      <c r="E34" s="32"/>
      <c r="F34" s="37"/>
      <c r="G34" s="32"/>
      <c r="H34" s="33"/>
      <c r="I34" s="467"/>
      <c r="J34" s="22" t="s">
        <v>50</v>
      </c>
      <c r="T34" s="2"/>
      <c r="U34" s="97"/>
    </row>
    <row r="35" spans="1:24" x14ac:dyDescent="0.2">
      <c r="A35" s="416"/>
      <c r="B35" s="182"/>
      <c r="C35" s="182"/>
      <c r="D35" s="182"/>
      <c r="E35" s="182"/>
      <c r="F35" s="182"/>
      <c r="G35" s="182"/>
      <c r="H35" s="45"/>
      <c r="I35" s="467"/>
      <c r="J35" s="470" t="s">
        <v>55</v>
      </c>
      <c r="K35" s="471"/>
      <c r="L35" s="471"/>
      <c r="M35" s="471"/>
      <c r="N35" s="471"/>
      <c r="O35" s="471"/>
      <c r="P35" s="471"/>
      <c r="Q35" s="471"/>
      <c r="R35" s="471"/>
      <c r="S35" s="471"/>
      <c r="T35" s="472"/>
    </row>
    <row r="36" spans="1:24" x14ac:dyDescent="0.2">
      <c r="A36" s="416"/>
      <c r="B36" s="182"/>
      <c r="C36" s="182"/>
      <c r="D36" s="182"/>
      <c r="E36" s="182"/>
      <c r="F36" s="182"/>
      <c r="G36" s="182"/>
      <c r="H36" s="45"/>
      <c r="I36" s="467"/>
      <c r="J36" s="21" t="s">
        <v>47</v>
      </c>
      <c r="T36" s="2"/>
    </row>
    <row r="37" spans="1:24" x14ac:dyDescent="0.2">
      <c r="A37" s="416"/>
      <c r="B37" s="182"/>
      <c r="C37" s="182"/>
      <c r="D37" s="182"/>
      <c r="E37" s="182"/>
      <c r="F37" s="182"/>
      <c r="G37" s="182"/>
      <c r="H37" s="45"/>
      <c r="I37" s="467"/>
      <c r="J37" s="22" t="s">
        <v>48</v>
      </c>
      <c r="K37" s="30"/>
      <c r="L37" s="30"/>
      <c r="M37" s="30"/>
      <c r="N37" s="30"/>
      <c r="O37" s="30"/>
      <c r="P37" s="30"/>
      <c r="Q37" s="30"/>
      <c r="R37" s="30"/>
      <c r="S37" s="30"/>
      <c r="T37" s="31"/>
    </row>
    <row r="38" spans="1:24" ht="16" thickBot="1" x14ac:dyDescent="0.25">
      <c r="A38" s="416"/>
      <c r="B38" s="46"/>
      <c r="C38" s="46"/>
      <c r="D38" s="46"/>
      <c r="E38" s="46"/>
      <c r="F38" s="46"/>
      <c r="G38" s="46"/>
      <c r="H38" s="47"/>
      <c r="I38" s="467"/>
      <c r="J38" s="22" t="s">
        <v>49</v>
      </c>
      <c r="T38" s="2"/>
    </row>
    <row r="39" spans="1:24" ht="15" customHeight="1" x14ac:dyDescent="0.2">
      <c r="A39" s="416"/>
      <c r="B39" s="546" t="s">
        <v>349</v>
      </c>
      <c r="C39" s="411" t="s">
        <v>376</v>
      </c>
      <c r="D39" s="409"/>
      <c r="E39" s="409"/>
      <c r="F39" s="409"/>
      <c r="G39" s="409"/>
      <c r="H39" s="410"/>
      <c r="I39" s="467"/>
      <c r="J39" s="101" t="s">
        <v>50</v>
      </c>
      <c r="K39" s="99"/>
      <c r="L39" s="99"/>
      <c r="M39" s="99"/>
      <c r="N39" s="99"/>
      <c r="O39" s="99"/>
      <c r="P39" s="99"/>
      <c r="Q39" s="99"/>
      <c r="R39" s="99"/>
      <c r="S39" s="99"/>
      <c r="T39" s="100"/>
    </row>
    <row r="40" spans="1:24" ht="29" customHeight="1" x14ac:dyDescent="0.2">
      <c r="A40" s="416"/>
      <c r="B40" s="547"/>
      <c r="C40" s="529" t="s">
        <v>432</v>
      </c>
      <c r="D40" s="530"/>
      <c r="E40" s="530" t="s">
        <v>433</v>
      </c>
      <c r="F40" s="530"/>
      <c r="G40" s="530" t="s">
        <v>434</v>
      </c>
      <c r="H40" s="531"/>
      <c r="I40" s="467"/>
      <c r="J40" s="22" t="s">
        <v>51</v>
      </c>
      <c r="T40" s="2"/>
    </row>
    <row r="41" spans="1:24" x14ac:dyDescent="0.2">
      <c r="A41" s="416"/>
      <c r="B41" s="547"/>
      <c r="C41" s="21" t="s">
        <v>425</v>
      </c>
      <c r="D41" s="165"/>
      <c r="E41" s="24" t="s">
        <v>263</v>
      </c>
      <c r="F41" s="165"/>
      <c r="G41" s="24" t="s">
        <v>5</v>
      </c>
      <c r="H41" s="164"/>
      <c r="I41" s="467"/>
      <c r="J41" s="22" t="s">
        <v>49</v>
      </c>
      <c r="K41" s="30"/>
      <c r="L41" s="30"/>
      <c r="M41" s="30"/>
      <c r="N41" s="30"/>
      <c r="O41" s="30"/>
      <c r="P41" s="30"/>
      <c r="Q41" s="30"/>
      <c r="R41" s="30"/>
      <c r="S41" s="30"/>
      <c r="T41" s="31"/>
    </row>
    <row r="42" spans="1:24" ht="16" thickBot="1" x14ac:dyDescent="0.25">
      <c r="A42" s="416"/>
      <c r="B42" s="547"/>
      <c r="C42" s="22" t="s">
        <v>6</v>
      </c>
      <c r="D42" s="30"/>
      <c r="E42" s="25" t="s">
        <v>329</v>
      </c>
      <c r="F42" s="30"/>
      <c r="G42" s="25" t="s">
        <v>6</v>
      </c>
      <c r="H42" s="31"/>
      <c r="I42" s="468"/>
      <c r="J42" s="23" t="s">
        <v>50</v>
      </c>
      <c r="K42" s="4"/>
      <c r="L42" s="4"/>
      <c r="M42" s="4"/>
      <c r="N42" s="4"/>
      <c r="O42" s="4"/>
      <c r="P42" s="4"/>
      <c r="Q42" s="4"/>
      <c r="R42" s="4"/>
      <c r="S42" s="4"/>
      <c r="T42" s="5"/>
    </row>
    <row r="43" spans="1:24" ht="16" thickBot="1" x14ac:dyDescent="0.25">
      <c r="A43" s="416"/>
      <c r="B43" s="547"/>
      <c r="C43" s="23" t="s">
        <v>424</v>
      </c>
      <c r="D43" s="4"/>
      <c r="E43" s="26" t="s">
        <v>7</v>
      </c>
      <c r="F43" s="4"/>
      <c r="G43" s="26" t="s">
        <v>7</v>
      </c>
      <c r="H43" s="5"/>
      <c r="I43" s="466" t="s">
        <v>60</v>
      </c>
      <c r="J43" s="411" t="s">
        <v>56</v>
      </c>
      <c r="K43" s="409"/>
      <c r="L43" s="409"/>
      <c r="M43" s="409"/>
      <c r="N43" s="409"/>
      <c r="O43" s="409"/>
      <c r="P43" s="409"/>
      <c r="Q43" s="409"/>
      <c r="R43" s="409"/>
      <c r="S43" s="409"/>
      <c r="T43" s="410"/>
      <c r="U43" s="95"/>
      <c r="V43" s="95"/>
      <c r="W43" s="95"/>
      <c r="X43" s="95"/>
    </row>
    <row r="44" spans="1:24" x14ac:dyDescent="0.2">
      <c r="A44" s="416"/>
      <c r="B44" s="547"/>
      <c r="C44" s="411" t="s">
        <v>12</v>
      </c>
      <c r="D44" s="409"/>
      <c r="E44" s="409"/>
      <c r="F44" s="409"/>
      <c r="G44" s="525" t="s">
        <v>2</v>
      </c>
      <c r="H44" s="321"/>
      <c r="I44" s="467"/>
      <c r="J44" s="21" t="s">
        <v>47</v>
      </c>
      <c r="T44" s="2"/>
      <c r="U44" s="94"/>
    </row>
    <row r="45" spans="1:24" x14ac:dyDescent="0.2">
      <c r="A45" s="416"/>
      <c r="B45" s="547"/>
      <c r="C45" s="532" t="s">
        <v>426</v>
      </c>
      <c r="D45" s="533"/>
      <c r="E45" s="533" t="s">
        <v>427</v>
      </c>
      <c r="F45" s="533"/>
      <c r="G45" s="544"/>
      <c r="H45" s="545"/>
      <c r="I45" s="467"/>
      <c r="J45" s="22" t="s">
        <v>48</v>
      </c>
      <c r="K45" s="30"/>
      <c r="L45" s="30"/>
      <c r="M45" s="30"/>
      <c r="N45" s="30"/>
      <c r="O45" s="30"/>
      <c r="P45" s="30"/>
      <c r="Q45" s="30"/>
      <c r="R45" s="30"/>
      <c r="S45" s="30"/>
      <c r="T45" s="31"/>
      <c r="U45" s="96"/>
    </row>
    <row r="46" spans="1:24" x14ac:dyDescent="0.2">
      <c r="A46" s="416"/>
      <c r="B46" s="547"/>
      <c r="C46" s="22" t="s">
        <v>425</v>
      </c>
      <c r="E46" s="25" t="s">
        <v>425</v>
      </c>
      <c r="G46" s="22" t="s">
        <v>18</v>
      </c>
      <c r="H46" s="31"/>
      <c r="I46" s="467"/>
      <c r="J46" s="22" t="s">
        <v>49</v>
      </c>
      <c r="T46" s="2"/>
      <c r="U46" s="96"/>
    </row>
    <row r="47" spans="1:24" x14ac:dyDescent="0.2">
      <c r="A47" s="416"/>
      <c r="B47" s="547"/>
      <c r="C47" s="22" t="s">
        <v>6</v>
      </c>
      <c r="D47" s="30"/>
      <c r="E47" s="25" t="s">
        <v>6</v>
      </c>
      <c r="F47" s="30"/>
      <c r="G47" s="22" t="s">
        <v>19</v>
      </c>
      <c r="H47" s="2"/>
      <c r="I47" s="467"/>
      <c r="J47" s="101" t="s">
        <v>50</v>
      </c>
      <c r="K47" s="99"/>
      <c r="L47" s="99"/>
      <c r="M47" s="99"/>
      <c r="N47" s="99"/>
      <c r="O47" s="99"/>
      <c r="P47" s="99"/>
      <c r="Q47" s="99"/>
      <c r="R47" s="99"/>
      <c r="S47" s="99"/>
      <c r="T47" s="100"/>
      <c r="U47" s="96"/>
    </row>
    <row r="48" spans="1:24" ht="16" thickBot="1" x14ac:dyDescent="0.25">
      <c r="A48" s="416"/>
      <c r="B48" s="547"/>
      <c r="C48" s="23" t="s">
        <v>7</v>
      </c>
      <c r="D48" s="4"/>
      <c r="E48" s="26" t="s">
        <v>7</v>
      </c>
      <c r="F48" s="4"/>
      <c r="G48" s="23" t="s">
        <v>20</v>
      </c>
      <c r="H48" s="33"/>
      <c r="I48" s="467"/>
      <c r="J48" s="22" t="s">
        <v>51</v>
      </c>
      <c r="T48" s="2"/>
      <c r="U48" s="96"/>
    </row>
    <row r="49" spans="1:21" ht="16" thickBot="1" x14ac:dyDescent="0.25">
      <c r="A49" s="416"/>
      <c r="B49" s="547"/>
      <c r="C49" s="523" t="s">
        <v>0</v>
      </c>
      <c r="D49" s="524"/>
      <c r="E49" s="133" t="s">
        <v>267</v>
      </c>
      <c r="F49" s="135"/>
      <c r="G49" s="133" t="s">
        <v>268</v>
      </c>
      <c r="H49" s="134"/>
      <c r="I49" s="467"/>
      <c r="J49" s="22" t="s">
        <v>49</v>
      </c>
      <c r="K49" s="30"/>
      <c r="L49" s="30"/>
      <c r="M49" s="30"/>
      <c r="N49" s="30"/>
      <c r="O49" s="30"/>
      <c r="P49" s="30"/>
      <c r="Q49" s="30"/>
      <c r="R49" s="30"/>
      <c r="S49" s="30"/>
      <c r="T49" s="31"/>
      <c r="U49" s="96"/>
    </row>
    <row r="50" spans="1:21" x14ac:dyDescent="0.2">
      <c r="A50" s="416"/>
      <c r="B50" s="547"/>
      <c r="C50" s="525" t="s">
        <v>262</v>
      </c>
      <c r="D50" s="320"/>
      <c r="E50" s="320"/>
      <c r="F50" s="320"/>
      <c r="G50" s="320"/>
      <c r="H50" s="321"/>
      <c r="I50" s="467"/>
      <c r="J50" s="22" t="s">
        <v>50</v>
      </c>
      <c r="T50" s="2"/>
      <c r="U50" s="96"/>
    </row>
    <row r="51" spans="1:21" x14ac:dyDescent="0.2">
      <c r="A51" s="416"/>
      <c r="B51" s="547"/>
      <c r="C51" s="27" t="s">
        <v>263</v>
      </c>
      <c r="D51" s="28" t="s">
        <v>132</v>
      </c>
      <c r="E51" s="28" t="s">
        <v>264</v>
      </c>
      <c r="F51" s="28" t="s">
        <v>22</v>
      </c>
      <c r="G51" s="28" t="s">
        <v>259</v>
      </c>
      <c r="H51" s="29" t="s">
        <v>97</v>
      </c>
      <c r="I51" s="467"/>
      <c r="J51" s="470" t="s">
        <v>57</v>
      </c>
      <c r="K51" s="471"/>
      <c r="L51" s="471"/>
      <c r="M51" s="471"/>
      <c r="N51" s="471"/>
      <c r="O51" s="471"/>
      <c r="P51" s="471"/>
      <c r="Q51" s="471"/>
      <c r="R51" s="471"/>
      <c r="S51" s="471"/>
      <c r="T51" s="472"/>
      <c r="U51" s="96"/>
    </row>
    <row r="52" spans="1:21" ht="16" thickBot="1" x14ac:dyDescent="0.25">
      <c r="A52" s="416"/>
      <c r="B52" s="547"/>
      <c r="C52" s="1"/>
      <c r="D52" s="30"/>
      <c r="F52" s="30"/>
      <c r="H52" s="31"/>
      <c r="I52" s="467"/>
      <c r="J52" s="21" t="s">
        <v>47</v>
      </c>
      <c r="T52" s="2"/>
      <c r="U52" s="96"/>
    </row>
    <row r="53" spans="1:21" ht="15" customHeight="1" x14ac:dyDescent="0.2">
      <c r="A53" s="416"/>
      <c r="B53" s="547"/>
      <c r="C53" s="525" t="s">
        <v>265</v>
      </c>
      <c r="D53" s="320"/>
      <c r="E53" s="320"/>
      <c r="F53" s="320"/>
      <c r="G53" s="320"/>
      <c r="H53" s="321"/>
      <c r="I53" s="467"/>
      <c r="J53" s="22" t="s">
        <v>48</v>
      </c>
      <c r="K53" s="30"/>
      <c r="L53" s="30"/>
      <c r="M53" s="30"/>
      <c r="N53" s="30"/>
      <c r="O53" s="30"/>
      <c r="P53" s="30"/>
      <c r="Q53" s="30"/>
      <c r="R53" s="30"/>
      <c r="S53" s="30"/>
      <c r="T53" s="31"/>
      <c r="U53" s="96"/>
    </row>
    <row r="54" spans="1:21" x14ac:dyDescent="0.2">
      <c r="A54" s="416"/>
      <c r="B54" s="547"/>
      <c r="C54" s="27" t="s">
        <v>263</v>
      </c>
      <c r="D54" s="28" t="s">
        <v>132</v>
      </c>
      <c r="E54" s="28" t="s">
        <v>264</v>
      </c>
      <c r="F54" s="28" t="s">
        <v>22</v>
      </c>
      <c r="G54" s="28" t="s">
        <v>259</v>
      </c>
      <c r="H54" s="29" t="s">
        <v>97</v>
      </c>
      <c r="I54" s="467"/>
      <c r="J54" s="22" t="s">
        <v>49</v>
      </c>
      <c r="T54" s="2"/>
      <c r="U54" s="96"/>
    </row>
    <row r="55" spans="1:21" ht="16" thickBot="1" x14ac:dyDescent="0.25">
      <c r="A55" s="416"/>
      <c r="B55" s="547"/>
      <c r="C55" s="160"/>
      <c r="D55" s="30"/>
      <c r="F55" s="30"/>
      <c r="H55" s="31"/>
      <c r="I55" s="467"/>
      <c r="J55" s="101" t="s">
        <v>50</v>
      </c>
      <c r="K55" s="99"/>
      <c r="L55" s="99"/>
      <c r="M55" s="99"/>
      <c r="N55" s="99"/>
      <c r="O55" s="99"/>
      <c r="P55" s="99"/>
      <c r="Q55" s="99"/>
      <c r="R55" s="99"/>
      <c r="S55" s="99"/>
      <c r="T55" s="100"/>
      <c r="U55" s="96"/>
    </row>
    <row r="56" spans="1:21" x14ac:dyDescent="0.2">
      <c r="A56" s="416"/>
      <c r="B56" s="547"/>
      <c r="C56" s="411" t="s">
        <v>1</v>
      </c>
      <c r="D56" s="409"/>
      <c r="E56" s="409"/>
      <c r="F56" s="409"/>
      <c r="G56" s="409"/>
      <c r="H56" s="410"/>
      <c r="I56" s="467"/>
      <c r="J56" s="22" t="s">
        <v>51</v>
      </c>
      <c r="T56" s="2"/>
      <c r="U56" s="96"/>
    </row>
    <row r="57" spans="1:21" x14ac:dyDescent="0.2">
      <c r="A57" s="416"/>
      <c r="B57" s="547"/>
      <c r="C57" s="18" t="s">
        <v>266</v>
      </c>
      <c r="D57" s="19" t="s">
        <v>45</v>
      </c>
      <c r="E57" s="19" t="s">
        <v>15</v>
      </c>
      <c r="F57" s="19" t="s">
        <v>14</v>
      </c>
      <c r="G57" s="19" t="s">
        <v>41</v>
      </c>
      <c r="H57" s="20" t="s">
        <v>43</v>
      </c>
      <c r="I57" s="467"/>
      <c r="J57" s="22" t="s">
        <v>49</v>
      </c>
      <c r="K57" s="30"/>
      <c r="L57" s="30"/>
      <c r="M57" s="30"/>
      <c r="N57" s="30"/>
      <c r="O57" s="30"/>
      <c r="P57" s="30"/>
      <c r="Q57" s="30"/>
      <c r="R57" s="30"/>
      <c r="S57" s="30"/>
      <c r="T57" s="31"/>
      <c r="U57" s="96"/>
    </row>
    <row r="58" spans="1:21" ht="16" thickBot="1" x14ac:dyDescent="0.25">
      <c r="A58" s="416"/>
      <c r="B58" s="548"/>
      <c r="C58" s="3"/>
      <c r="D58" s="32"/>
      <c r="E58" s="4"/>
      <c r="F58" s="32"/>
      <c r="G58" s="4"/>
      <c r="H58" s="33"/>
      <c r="I58" s="467"/>
      <c r="J58" s="22" t="s">
        <v>50</v>
      </c>
      <c r="T58" s="2"/>
      <c r="U58" s="96"/>
    </row>
    <row r="59" spans="1:21" x14ac:dyDescent="0.2">
      <c r="A59" s="416"/>
      <c r="B59" s="411" t="s">
        <v>430</v>
      </c>
      <c r="C59" s="409"/>
      <c r="D59" s="409"/>
      <c r="E59" s="409"/>
      <c r="F59" s="409"/>
      <c r="G59" s="409"/>
      <c r="H59" s="410"/>
      <c r="I59" s="467"/>
      <c r="J59" s="470" t="s">
        <v>54</v>
      </c>
      <c r="K59" s="471"/>
      <c r="L59" s="471"/>
      <c r="M59" s="471"/>
      <c r="N59" s="471"/>
      <c r="O59" s="471"/>
      <c r="P59" s="471"/>
      <c r="Q59" s="471"/>
      <c r="R59" s="471"/>
      <c r="S59" s="471"/>
      <c r="T59" s="472"/>
      <c r="U59" s="96"/>
    </row>
    <row r="60" spans="1:21" x14ac:dyDescent="0.2">
      <c r="A60" s="416"/>
      <c r="B60" s="18" t="s">
        <v>24</v>
      </c>
      <c r="C60" s="19" t="s">
        <v>25</v>
      </c>
      <c r="D60" s="19" t="s">
        <v>28</v>
      </c>
      <c r="E60" s="19" t="s">
        <v>26</v>
      </c>
      <c r="F60" s="19" t="s">
        <v>30</v>
      </c>
      <c r="G60" s="19" t="s">
        <v>27</v>
      </c>
      <c r="H60" s="20" t="s">
        <v>29</v>
      </c>
      <c r="I60" s="467"/>
      <c r="J60" s="21" t="s">
        <v>47</v>
      </c>
      <c r="T60" s="2"/>
      <c r="U60" s="96"/>
    </row>
    <row r="61" spans="1:21" x14ac:dyDescent="0.2">
      <c r="A61" s="416"/>
      <c r="B61" s="21" t="s">
        <v>31</v>
      </c>
      <c r="D61" s="34"/>
      <c r="F61" s="34"/>
      <c r="H61" s="2"/>
      <c r="I61" s="467"/>
      <c r="J61" s="22" t="s">
        <v>48</v>
      </c>
      <c r="K61" s="30"/>
      <c r="L61" s="30"/>
      <c r="M61" s="30"/>
      <c r="N61" s="30"/>
      <c r="O61" s="30"/>
      <c r="P61" s="30"/>
      <c r="Q61" s="30"/>
      <c r="R61" s="30"/>
      <c r="S61" s="30"/>
      <c r="T61" s="31"/>
      <c r="U61" s="96"/>
    </row>
    <row r="62" spans="1:21" x14ac:dyDescent="0.2">
      <c r="A62" s="416"/>
      <c r="B62" s="22" t="s">
        <v>32</v>
      </c>
      <c r="C62" s="30"/>
      <c r="D62" s="35"/>
      <c r="E62" s="30"/>
      <c r="F62" s="35"/>
      <c r="G62" s="30"/>
      <c r="H62" s="31"/>
      <c r="I62" s="467"/>
      <c r="J62" s="22" t="s">
        <v>49</v>
      </c>
      <c r="T62" s="2"/>
      <c r="U62" s="96"/>
    </row>
    <row r="63" spans="1:21" x14ac:dyDescent="0.2">
      <c r="A63" s="416"/>
      <c r="B63" s="22" t="s">
        <v>33</v>
      </c>
      <c r="D63" s="36"/>
      <c r="F63" s="36"/>
      <c r="H63" s="2"/>
      <c r="I63" s="467"/>
      <c r="J63" s="101" t="s">
        <v>50</v>
      </c>
      <c r="K63" s="99"/>
      <c r="L63" s="99"/>
      <c r="M63" s="99"/>
      <c r="N63" s="99"/>
      <c r="O63" s="99"/>
      <c r="P63" s="99"/>
      <c r="Q63" s="99"/>
      <c r="R63" s="99"/>
      <c r="S63" s="99"/>
      <c r="T63" s="100"/>
      <c r="U63" s="96"/>
    </row>
    <row r="64" spans="1:21" x14ac:dyDescent="0.2">
      <c r="A64" s="416"/>
      <c r="B64" s="22" t="s">
        <v>34</v>
      </c>
      <c r="C64" s="30"/>
      <c r="D64" s="35"/>
      <c r="E64" s="30"/>
      <c r="F64" s="35"/>
      <c r="G64" s="30"/>
      <c r="H64" s="31"/>
      <c r="I64" s="467"/>
      <c r="J64" s="22" t="s">
        <v>51</v>
      </c>
      <c r="T64" s="2"/>
      <c r="U64" s="96"/>
    </row>
    <row r="65" spans="1:21" x14ac:dyDescent="0.2">
      <c r="A65" s="416"/>
      <c r="B65" s="22" t="s">
        <v>35</v>
      </c>
      <c r="D65" s="36"/>
      <c r="F65" s="36"/>
      <c r="H65" s="2"/>
      <c r="I65" s="467"/>
      <c r="J65" s="22" t="s">
        <v>49</v>
      </c>
      <c r="K65" s="30"/>
      <c r="L65" s="30"/>
      <c r="M65" s="30"/>
      <c r="N65" s="30"/>
      <c r="O65" s="30"/>
      <c r="P65" s="30"/>
      <c r="Q65" s="30"/>
      <c r="R65" s="30"/>
      <c r="S65" s="30"/>
      <c r="T65" s="31"/>
      <c r="U65" s="96"/>
    </row>
    <row r="66" spans="1:21" x14ac:dyDescent="0.2">
      <c r="A66" s="416"/>
      <c r="B66" s="22" t="s">
        <v>36</v>
      </c>
      <c r="C66" s="30"/>
      <c r="D66" s="35"/>
      <c r="E66" s="30"/>
      <c r="F66" s="35"/>
      <c r="G66" s="30"/>
      <c r="H66" s="31"/>
      <c r="I66" s="467"/>
      <c r="J66" s="22" t="s">
        <v>50</v>
      </c>
      <c r="T66" s="2"/>
      <c r="U66" s="96"/>
    </row>
    <row r="67" spans="1:21" x14ac:dyDescent="0.2">
      <c r="A67" s="416"/>
      <c r="B67" s="22" t="s">
        <v>37</v>
      </c>
      <c r="D67" s="36"/>
      <c r="F67" s="36"/>
      <c r="H67" s="2"/>
      <c r="I67" s="467"/>
      <c r="J67" s="470" t="s">
        <v>55</v>
      </c>
      <c r="K67" s="471"/>
      <c r="L67" s="471"/>
      <c r="M67" s="471"/>
      <c r="N67" s="471"/>
      <c r="O67" s="471"/>
      <c r="P67" s="471"/>
      <c r="Q67" s="471"/>
      <c r="R67" s="471"/>
      <c r="S67" s="471"/>
      <c r="T67" s="472"/>
      <c r="U67" s="96"/>
    </row>
    <row r="68" spans="1:21" x14ac:dyDescent="0.2">
      <c r="A68" s="416"/>
      <c r="B68" s="22" t="s">
        <v>38</v>
      </c>
      <c r="C68" s="30"/>
      <c r="D68" s="35"/>
      <c r="E68" s="30"/>
      <c r="F68" s="35"/>
      <c r="G68" s="30"/>
      <c r="H68" s="31"/>
      <c r="I68" s="467"/>
      <c r="J68" s="21" t="s">
        <v>47</v>
      </c>
      <c r="T68" s="2"/>
      <c r="U68" s="96"/>
    </row>
    <row r="69" spans="1:21" x14ac:dyDescent="0.2">
      <c r="A69" s="48"/>
      <c r="B69" s="22" t="s">
        <v>39</v>
      </c>
      <c r="D69" s="36"/>
      <c r="F69" s="36"/>
      <c r="H69" s="2"/>
      <c r="I69" s="467"/>
      <c r="J69" s="22" t="s">
        <v>48</v>
      </c>
      <c r="K69" s="30"/>
      <c r="L69" s="30"/>
      <c r="M69" s="30"/>
      <c r="N69" s="30"/>
      <c r="O69" s="30"/>
      <c r="P69" s="30"/>
      <c r="Q69" s="30"/>
      <c r="R69" s="30"/>
      <c r="S69" s="30"/>
      <c r="T69" s="31"/>
      <c r="U69" s="96"/>
    </row>
    <row r="70" spans="1:21" ht="16" thickBot="1" x14ac:dyDescent="0.25">
      <c r="A70" s="48"/>
      <c r="B70" s="23" t="s">
        <v>40</v>
      </c>
      <c r="C70" s="32"/>
      <c r="D70" s="37"/>
      <c r="E70" s="32"/>
      <c r="F70" s="37"/>
      <c r="G70" s="32"/>
      <c r="H70" s="33"/>
      <c r="I70" s="467"/>
      <c r="J70" s="22" t="s">
        <v>49</v>
      </c>
      <c r="T70" s="2"/>
      <c r="U70" s="96"/>
    </row>
    <row r="71" spans="1:21" x14ac:dyDescent="0.2">
      <c r="A71" s="48"/>
      <c r="B71" s="49"/>
      <c r="C71" s="49"/>
      <c r="D71" s="49"/>
      <c r="E71" s="49"/>
      <c r="F71" s="49"/>
      <c r="G71" s="49"/>
      <c r="H71" s="50"/>
      <c r="I71" s="467"/>
      <c r="J71" s="101" t="s">
        <v>50</v>
      </c>
      <c r="K71" s="99"/>
      <c r="L71" s="99"/>
      <c r="M71" s="99"/>
      <c r="N71" s="99"/>
      <c r="O71" s="99"/>
      <c r="P71" s="99"/>
      <c r="Q71" s="99"/>
      <c r="R71" s="99"/>
      <c r="S71" s="99"/>
      <c r="T71" s="100"/>
      <c r="U71" s="96"/>
    </row>
    <row r="72" spans="1:21" x14ac:dyDescent="0.2">
      <c r="A72" s="48"/>
      <c r="B72" s="49"/>
      <c r="C72" s="49"/>
      <c r="D72" s="49"/>
      <c r="E72" s="49"/>
      <c r="F72" s="49"/>
      <c r="G72" s="49"/>
      <c r="H72" s="50"/>
      <c r="I72" s="467"/>
      <c r="J72" s="22" t="s">
        <v>51</v>
      </c>
      <c r="T72" s="2"/>
      <c r="U72" s="96"/>
    </row>
    <row r="73" spans="1:21" x14ac:dyDescent="0.2">
      <c r="A73" s="48"/>
      <c r="B73" s="49"/>
      <c r="C73" s="49"/>
      <c r="D73" s="49"/>
      <c r="E73" s="49"/>
      <c r="F73" s="49"/>
      <c r="G73" s="49"/>
      <c r="H73" s="50"/>
      <c r="I73" s="467"/>
      <c r="J73" s="22" t="s">
        <v>49</v>
      </c>
      <c r="K73" s="30"/>
      <c r="L73" s="30"/>
      <c r="M73" s="30"/>
      <c r="N73" s="30"/>
      <c r="O73" s="30"/>
      <c r="P73" s="30"/>
      <c r="Q73" s="30"/>
      <c r="R73" s="30"/>
      <c r="S73" s="30"/>
      <c r="T73" s="31"/>
      <c r="U73" s="96"/>
    </row>
    <row r="74" spans="1:21" ht="16" thickBot="1" x14ac:dyDescent="0.25">
      <c r="A74" s="51"/>
      <c r="B74" s="52"/>
      <c r="C74" s="52"/>
      <c r="D74" s="52"/>
      <c r="E74" s="52"/>
      <c r="F74" s="52"/>
      <c r="G74" s="52"/>
      <c r="H74" s="53"/>
      <c r="I74" s="468"/>
      <c r="J74" s="23" t="s">
        <v>50</v>
      </c>
      <c r="K74" s="4"/>
      <c r="L74" s="4"/>
      <c r="M74" s="4"/>
      <c r="N74" s="4"/>
      <c r="O74" s="4"/>
      <c r="P74" s="4"/>
      <c r="Q74" s="4"/>
      <c r="R74" s="4"/>
      <c r="S74" s="4"/>
      <c r="T74" s="5"/>
      <c r="U74" s="96"/>
    </row>
    <row r="75" spans="1:21" x14ac:dyDescent="0.2">
      <c r="I75" s="97"/>
      <c r="U75" s="96"/>
    </row>
    <row r="76" spans="1:21" x14ac:dyDescent="0.2">
      <c r="I76" s="97"/>
    </row>
    <row r="77" spans="1:21" x14ac:dyDescent="0.2">
      <c r="I77" s="97"/>
    </row>
    <row r="78" spans="1:21" x14ac:dyDescent="0.2">
      <c r="I78" s="97"/>
    </row>
    <row r="79" spans="1:21" x14ac:dyDescent="0.2">
      <c r="I79" s="97"/>
    </row>
    <row r="80" spans="1:21" x14ac:dyDescent="0.2">
      <c r="I80" s="97"/>
    </row>
    <row r="81" spans="9:9" x14ac:dyDescent="0.2">
      <c r="I81" s="97"/>
    </row>
    <row r="82" spans="9:9" x14ac:dyDescent="0.2">
      <c r="I82" s="97"/>
    </row>
    <row r="83" spans="9:9" x14ac:dyDescent="0.2">
      <c r="I83" s="97"/>
    </row>
    <row r="84" spans="9:9" x14ac:dyDescent="0.2">
      <c r="I84" s="97"/>
    </row>
    <row r="85" spans="9:9" x14ac:dyDescent="0.2">
      <c r="I85" s="97"/>
    </row>
    <row r="86" spans="9:9" x14ac:dyDescent="0.2">
      <c r="I86" s="97"/>
    </row>
    <row r="87" spans="9:9" x14ac:dyDescent="0.2">
      <c r="I87" s="97"/>
    </row>
    <row r="88" spans="9:9" x14ac:dyDescent="0.2">
      <c r="I88" s="97"/>
    </row>
    <row r="89" spans="9:9" x14ac:dyDescent="0.2">
      <c r="I89" s="97"/>
    </row>
    <row r="90" spans="9:9" x14ac:dyDescent="0.2">
      <c r="I90" s="97"/>
    </row>
    <row r="91" spans="9:9" x14ac:dyDescent="0.2">
      <c r="I91" s="97"/>
    </row>
    <row r="92" spans="9:9" x14ac:dyDescent="0.2">
      <c r="I92" s="97"/>
    </row>
  </sheetData>
  <mergeCells count="42">
    <mergeCell ref="A3:A68"/>
    <mergeCell ref="C49:D49"/>
    <mergeCell ref="C20:H20"/>
    <mergeCell ref="B23:H23"/>
    <mergeCell ref="B3:B22"/>
    <mergeCell ref="C3:H3"/>
    <mergeCell ref="C4:D4"/>
    <mergeCell ref="E4:F4"/>
    <mergeCell ref="C45:D45"/>
    <mergeCell ref="E45:F45"/>
    <mergeCell ref="B39:B58"/>
    <mergeCell ref="G4:H4"/>
    <mergeCell ref="C9:D9"/>
    <mergeCell ref="E9:F9"/>
    <mergeCell ref="C8:F8"/>
    <mergeCell ref="G1:I1"/>
    <mergeCell ref="I3:I42"/>
    <mergeCell ref="G8:H9"/>
    <mergeCell ref="J11:T11"/>
    <mergeCell ref="J19:T19"/>
    <mergeCell ref="J27:T27"/>
    <mergeCell ref="J35:T35"/>
    <mergeCell ref="A2:T2"/>
    <mergeCell ref="J3:T3"/>
    <mergeCell ref="C14:H14"/>
    <mergeCell ref="C17:H17"/>
    <mergeCell ref="C39:H39"/>
    <mergeCell ref="C40:D40"/>
    <mergeCell ref="E40:F40"/>
    <mergeCell ref="G40:H40"/>
    <mergeCell ref="C13:D13"/>
    <mergeCell ref="J43:T43"/>
    <mergeCell ref="G44:H45"/>
    <mergeCell ref="J51:T51"/>
    <mergeCell ref="J59:T59"/>
    <mergeCell ref="J67:T67"/>
    <mergeCell ref="B59:H59"/>
    <mergeCell ref="C44:F44"/>
    <mergeCell ref="C50:H50"/>
    <mergeCell ref="C53:H53"/>
    <mergeCell ref="C56:H56"/>
    <mergeCell ref="I43:I74"/>
  </mergeCells>
  <pageMargins left="0.25" right="0.25" top="0.75" bottom="0.75" header="0.3" footer="0.3"/>
  <pageSetup scale="51"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A3D49-5EB5-4151-A21D-17A7293788A3}">
  <sheetPr codeName="Sheet40">
    <tabColor theme="9"/>
    <pageSetUpPr fitToPage="1"/>
  </sheetPr>
  <dimension ref="A1:N74"/>
  <sheetViews>
    <sheetView workbookViewId="0">
      <selection activeCell="D5" sqref="D5"/>
    </sheetView>
  </sheetViews>
  <sheetFormatPr baseColWidth="10" defaultColWidth="8.83203125" defaultRowHeight="15" x14ac:dyDescent="0.2"/>
  <cols>
    <col min="1" max="1" width="9.1640625" style="212"/>
    <col min="2" max="2" width="8.5" style="212" bestFit="1" customWidth="1"/>
    <col min="3" max="3" width="12.5" style="212" bestFit="1" customWidth="1"/>
    <col min="4" max="4" width="9.83203125" style="212" bestFit="1" customWidth="1"/>
    <col min="5" max="5" width="14" style="212" bestFit="1" customWidth="1"/>
    <col min="6" max="6" width="10.33203125" style="212" bestFit="1" customWidth="1"/>
    <col min="7" max="7" width="17.5" style="212" bestFit="1" customWidth="1"/>
    <col min="8" max="8" width="11.83203125" style="212" bestFit="1" customWidth="1"/>
    <col min="9" max="9" width="10.83203125" style="212" bestFit="1" customWidth="1"/>
    <col min="10" max="10" width="13.83203125" style="212" bestFit="1" customWidth="1"/>
  </cols>
  <sheetData>
    <row r="1" spans="1:11" ht="16" thickBot="1" x14ac:dyDescent="0.25">
      <c r="A1" s="249"/>
      <c r="B1" s="250"/>
      <c r="C1" s="250"/>
      <c r="D1" s="250"/>
      <c r="E1" s="250"/>
      <c r="F1" s="250"/>
      <c r="G1" s="549" t="s">
        <v>375</v>
      </c>
      <c r="H1" s="549"/>
      <c r="I1" s="549"/>
      <c r="J1" s="251">
        <v>7</v>
      </c>
    </row>
    <row r="2" spans="1:11" ht="16" thickBot="1" x14ac:dyDescent="0.25">
      <c r="A2" s="414" t="s">
        <v>4</v>
      </c>
      <c r="B2" s="415"/>
      <c r="C2" s="415"/>
      <c r="D2" s="415"/>
      <c r="E2" s="415"/>
      <c r="F2" s="415"/>
      <c r="G2" s="415"/>
      <c r="H2" s="415"/>
      <c r="I2" s="415"/>
      <c r="J2" s="550"/>
    </row>
    <row r="3" spans="1:11" x14ac:dyDescent="0.2">
      <c r="A3" s="416"/>
      <c r="B3" s="546" t="s">
        <v>58</v>
      </c>
      <c r="C3" s="411" t="s">
        <v>376</v>
      </c>
      <c r="D3" s="409"/>
      <c r="E3" s="409"/>
      <c r="F3" s="409"/>
      <c r="G3" s="409"/>
      <c r="H3" s="410"/>
      <c r="I3" s="466" t="s">
        <v>59</v>
      </c>
      <c r="J3" s="197" t="s">
        <v>46</v>
      </c>
      <c r="K3" s="97"/>
    </row>
    <row r="4" spans="1:11" x14ac:dyDescent="0.2">
      <c r="A4" s="416"/>
      <c r="B4" s="547"/>
      <c r="C4" s="532" t="s">
        <v>8</v>
      </c>
      <c r="D4" s="533"/>
      <c r="E4" s="533" t="s">
        <v>9</v>
      </c>
      <c r="F4" s="533"/>
      <c r="G4" s="533" t="s">
        <v>10</v>
      </c>
      <c r="H4" s="535"/>
      <c r="I4" s="467"/>
      <c r="J4" s="252" t="s">
        <v>47</v>
      </c>
      <c r="K4" s="97"/>
    </row>
    <row r="5" spans="1:11" x14ac:dyDescent="0.2">
      <c r="A5" s="416"/>
      <c r="B5" s="547"/>
      <c r="C5" s="253" t="s">
        <v>5</v>
      </c>
      <c r="D5" s="229">
        <v>156.5</v>
      </c>
      <c r="E5" s="254" t="s">
        <v>263</v>
      </c>
      <c r="F5" s="229">
        <v>177</v>
      </c>
      <c r="G5" s="254" t="s">
        <v>5</v>
      </c>
      <c r="H5" s="232">
        <v>192</v>
      </c>
      <c r="I5" s="467"/>
      <c r="J5" s="255" t="s">
        <v>48</v>
      </c>
      <c r="K5" s="97"/>
    </row>
    <row r="6" spans="1:11" x14ac:dyDescent="0.2">
      <c r="A6" s="416"/>
      <c r="B6" s="547"/>
      <c r="C6" s="256" t="s">
        <v>6</v>
      </c>
      <c r="D6" s="219">
        <v>133</v>
      </c>
      <c r="E6" s="257" t="s">
        <v>329</v>
      </c>
      <c r="F6" s="219">
        <v>143.15</v>
      </c>
      <c r="G6" s="257" t="s">
        <v>6</v>
      </c>
      <c r="H6" s="220">
        <v>145.25</v>
      </c>
      <c r="I6" s="467"/>
      <c r="J6" s="255" t="s">
        <v>49</v>
      </c>
      <c r="K6" s="97"/>
    </row>
    <row r="7" spans="1:11" ht="16" thickBot="1" x14ac:dyDescent="0.25">
      <c r="A7" s="416"/>
      <c r="B7" s="547"/>
      <c r="C7" s="258" t="s">
        <v>7</v>
      </c>
      <c r="D7" s="222" t="s">
        <v>197</v>
      </c>
      <c r="E7" s="259" t="s">
        <v>7</v>
      </c>
      <c r="F7" s="222">
        <v>33.849999999999994</v>
      </c>
      <c r="G7" s="259" t="s">
        <v>7</v>
      </c>
      <c r="H7" s="233">
        <v>12.5</v>
      </c>
      <c r="I7" s="467"/>
      <c r="J7" s="260" t="s">
        <v>50</v>
      </c>
      <c r="K7" s="97"/>
    </row>
    <row r="8" spans="1:11" x14ac:dyDescent="0.2">
      <c r="A8" s="416"/>
      <c r="B8" s="547"/>
      <c r="C8" s="411" t="s">
        <v>12</v>
      </c>
      <c r="D8" s="409"/>
      <c r="E8" s="409"/>
      <c r="F8" s="409"/>
      <c r="G8" s="525" t="s">
        <v>2</v>
      </c>
      <c r="H8" s="321"/>
      <c r="I8" s="467"/>
      <c r="J8" s="255" t="s">
        <v>51</v>
      </c>
      <c r="K8" s="97"/>
    </row>
    <row r="9" spans="1:11" x14ac:dyDescent="0.2">
      <c r="A9" s="416"/>
      <c r="B9" s="547"/>
      <c r="C9" s="532" t="s">
        <v>8</v>
      </c>
      <c r="D9" s="533"/>
      <c r="E9" s="533" t="s">
        <v>10</v>
      </c>
      <c r="F9" s="533"/>
      <c r="G9" s="544"/>
      <c r="H9" s="545"/>
      <c r="I9" s="467"/>
      <c r="J9" s="255" t="s">
        <v>49</v>
      </c>
      <c r="K9" s="97"/>
    </row>
    <row r="10" spans="1:11" x14ac:dyDescent="0.2">
      <c r="A10" s="416"/>
      <c r="B10" s="547"/>
      <c r="C10" s="256" t="s">
        <v>5</v>
      </c>
      <c r="D10" s="212">
        <v>34</v>
      </c>
      <c r="E10" s="257" t="s">
        <v>5</v>
      </c>
      <c r="F10" s="212">
        <v>4.75</v>
      </c>
      <c r="G10" s="256" t="s">
        <v>18</v>
      </c>
      <c r="H10" s="220">
        <v>4.625</v>
      </c>
      <c r="I10" s="467"/>
      <c r="J10" s="255" t="s">
        <v>50</v>
      </c>
      <c r="K10" s="97"/>
    </row>
    <row r="11" spans="1:11" x14ac:dyDescent="0.2">
      <c r="A11" s="416"/>
      <c r="B11" s="547"/>
      <c r="C11" s="256" t="s">
        <v>6</v>
      </c>
      <c r="D11" s="219">
        <v>24.5</v>
      </c>
      <c r="E11" s="257" t="s">
        <v>6</v>
      </c>
      <c r="F11" s="219">
        <v>0</v>
      </c>
      <c r="G11" s="256" t="s">
        <v>19</v>
      </c>
      <c r="H11" s="231">
        <v>8.25</v>
      </c>
      <c r="I11" s="467"/>
      <c r="J11" s="199" t="s">
        <v>52</v>
      </c>
      <c r="K11" s="97"/>
    </row>
    <row r="12" spans="1:11" ht="16" thickBot="1" x14ac:dyDescent="0.25">
      <c r="A12" s="416"/>
      <c r="B12" s="547"/>
      <c r="C12" s="258" t="s">
        <v>7</v>
      </c>
      <c r="D12" s="222">
        <v>2</v>
      </c>
      <c r="E12" s="259" t="s">
        <v>7</v>
      </c>
      <c r="F12" s="222">
        <v>0</v>
      </c>
      <c r="G12" s="258" t="s">
        <v>20</v>
      </c>
      <c r="H12" s="223">
        <v>1.5</v>
      </c>
      <c r="I12" s="467"/>
      <c r="J12" s="252" t="s">
        <v>47</v>
      </c>
      <c r="K12" s="97"/>
    </row>
    <row r="13" spans="1:11" ht="16" thickBot="1" x14ac:dyDescent="0.25">
      <c r="A13" s="416"/>
      <c r="B13" s="547"/>
      <c r="C13" s="523" t="s">
        <v>0</v>
      </c>
      <c r="D13" s="524"/>
      <c r="E13" s="261" t="s">
        <v>267</v>
      </c>
      <c r="F13" s="230">
        <v>15</v>
      </c>
      <c r="G13" s="261" t="s">
        <v>268</v>
      </c>
      <c r="H13" s="206">
        <v>10</v>
      </c>
      <c r="I13" s="467"/>
      <c r="J13" s="255" t="s">
        <v>48</v>
      </c>
      <c r="K13" s="97"/>
    </row>
    <row r="14" spans="1:11" x14ac:dyDescent="0.2">
      <c r="A14" s="416"/>
      <c r="B14" s="547"/>
      <c r="C14" s="525" t="s">
        <v>262</v>
      </c>
      <c r="D14" s="320"/>
      <c r="E14" s="320"/>
      <c r="F14" s="320"/>
      <c r="G14" s="320"/>
      <c r="H14" s="321"/>
      <c r="I14" s="467"/>
      <c r="J14" s="255" t="s">
        <v>49</v>
      </c>
      <c r="K14" s="97"/>
    </row>
    <row r="15" spans="1:11" x14ac:dyDescent="0.2">
      <c r="A15" s="416"/>
      <c r="B15" s="547"/>
      <c r="C15" s="262" t="s">
        <v>263</v>
      </c>
      <c r="D15" s="263" t="s">
        <v>132</v>
      </c>
      <c r="E15" s="263" t="s">
        <v>264</v>
      </c>
      <c r="F15" s="263" t="s">
        <v>22</v>
      </c>
      <c r="G15" s="263" t="s">
        <v>259</v>
      </c>
      <c r="H15" s="264" t="s">
        <v>97</v>
      </c>
      <c r="I15" s="467"/>
      <c r="J15" s="260" t="s">
        <v>50</v>
      </c>
      <c r="K15" s="97"/>
    </row>
    <row r="16" spans="1:11" ht="16" thickBot="1" x14ac:dyDescent="0.25">
      <c r="A16" s="416"/>
      <c r="B16" s="547"/>
      <c r="C16" s="168">
        <v>21.75</v>
      </c>
      <c r="D16" s="219">
        <v>3.25</v>
      </c>
      <c r="E16" s="212">
        <v>4</v>
      </c>
      <c r="F16" s="219">
        <v>1</v>
      </c>
      <c r="G16" s="212">
        <v>2.25</v>
      </c>
      <c r="H16" s="220">
        <v>0.5</v>
      </c>
      <c r="I16" s="467"/>
      <c r="J16" s="255" t="s">
        <v>51</v>
      </c>
      <c r="K16" s="97"/>
    </row>
    <row r="17" spans="1:11" x14ac:dyDescent="0.2">
      <c r="A17" s="416"/>
      <c r="B17" s="547"/>
      <c r="C17" s="525" t="s">
        <v>265</v>
      </c>
      <c r="D17" s="320"/>
      <c r="E17" s="320"/>
      <c r="F17" s="320"/>
      <c r="G17" s="320"/>
      <c r="H17" s="321"/>
      <c r="I17" s="467"/>
      <c r="J17" s="255" t="s">
        <v>49</v>
      </c>
      <c r="K17" s="97"/>
    </row>
    <row r="18" spans="1:11" x14ac:dyDescent="0.2">
      <c r="A18" s="416"/>
      <c r="B18" s="547"/>
      <c r="C18" s="262" t="s">
        <v>263</v>
      </c>
      <c r="D18" s="263" t="s">
        <v>132</v>
      </c>
      <c r="E18" s="263" t="s">
        <v>264</v>
      </c>
      <c r="F18" s="263" t="s">
        <v>22</v>
      </c>
      <c r="G18" s="263" t="s">
        <v>259</v>
      </c>
      <c r="H18" s="264" t="s">
        <v>97</v>
      </c>
      <c r="I18" s="467"/>
      <c r="J18" s="255" t="s">
        <v>50</v>
      </c>
      <c r="K18" s="97"/>
    </row>
    <row r="19" spans="1:11" ht="16" thickBot="1" x14ac:dyDescent="0.25">
      <c r="A19" s="416"/>
      <c r="B19" s="547"/>
      <c r="C19" s="245">
        <v>177</v>
      </c>
      <c r="D19" s="219">
        <v>26.75</v>
      </c>
      <c r="E19" s="212">
        <v>32</v>
      </c>
      <c r="F19" s="219">
        <v>8</v>
      </c>
      <c r="G19" s="212">
        <v>16.75</v>
      </c>
      <c r="H19" s="220">
        <v>3</v>
      </c>
      <c r="I19" s="467"/>
      <c r="J19" s="199" t="s">
        <v>53</v>
      </c>
      <c r="K19" s="97"/>
    </row>
    <row r="20" spans="1:11" x14ac:dyDescent="0.2">
      <c r="A20" s="416"/>
      <c r="B20" s="547"/>
      <c r="C20" s="411" t="s">
        <v>1</v>
      </c>
      <c r="D20" s="409"/>
      <c r="E20" s="409"/>
      <c r="F20" s="409"/>
      <c r="G20" s="409"/>
      <c r="H20" s="410"/>
      <c r="I20" s="467"/>
      <c r="J20" s="252" t="s">
        <v>47</v>
      </c>
      <c r="K20" s="97"/>
    </row>
    <row r="21" spans="1:11" x14ac:dyDescent="0.2">
      <c r="A21" s="416"/>
      <c r="B21" s="547"/>
      <c r="C21" s="216" t="s">
        <v>266</v>
      </c>
      <c r="D21" s="217" t="s">
        <v>45</v>
      </c>
      <c r="E21" s="217" t="s">
        <v>15</v>
      </c>
      <c r="F21" s="217" t="s">
        <v>14</v>
      </c>
      <c r="G21" s="217" t="s">
        <v>41</v>
      </c>
      <c r="H21" s="218" t="s">
        <v>43</v>
      </c>
      <c r="I21" s="467"/>
      <c r="J21" s="255" t="s">
        <v>48</v>
      </c>
      <c r="K21" s="97"/>
    </row>
    <row r="22" spans="1:11" ht="16" thickBot="1" x14ac:dyDescent="0.25">
      <c r="A22" s="416"/>
      <c r="B22" s="548"/>
      <c r="C22" s="186">
        <v>0</v>
      </c>
      <c r="D22" s="221">
        <v>0.75</v>
      </c>
      <c r="E22" s="222">
        <v>2.5</v>
      </c>
      <c r="F22" s="221">
        <v>1</v>
      </c>
      <c r="G22" s="222">
        <v>0.25</v>
      </c>
      <c r="H22" s="223">
        <v>1.75</v>
      </c>
      <c r="I22" s="467"/>
      <c r="J22" s="255" t="s">
        <v>49</v>
      </c>
      <c r="K22" s="97"/>
    </row>
    <row r="23" spans="1:11" x14ac:dyDescent="0.2">
      <c r="A23" s="416"/>
      <c r="B23" s="411" t="s">
        <v>23</v>
      </c>
      <c r="C23" s="409"/>
      <c r="D23" s="409"/>
      <c r="E23" s="409"/>
      <c r="F23" s="409"/>
      <c r="G23" s="409"/>
      <c r="H23" s="410"/>
      <c r="I23" s="467"/>
      <c r="J23" s="260" t="s">
        <v>50</v>
      </c>
      <c r="K23" s="97"/>
    </row>
    <row r="24" spans="1:11" x14ac:dyDescent="0.2">
      <c r="A24" s="416"/>
      <c r="B24" s="216" t="s">
        <v>24</v>
      </c>
      <c r="C24" s="217" t="s">
        <v>25</v>
      </c>
      <c r="D24" s="217" t="s">
        <v>28</v>
      </c>
      <c r="E24" s="217" t="s">
        <v>26</v>
      </c>
      <c r="F24" s="217" t="s">
        <v>30</v>
      </c>
      <c r="G24" s="217" t="s">
        <v>27</v>
      </c>
      <c r="H24" s="218" t="s">
        <v>29</v>
      </c>
      <c r="I24" s="467"/>
      <c r="J24" s="255" t="s">
        <v>51</v>
      </c>
      <c r="K24" s="97"/>
    </row>
    <row r="25" spans="1:11" x14ac:dyDescent="0.2">
      <c r="A25" s="416"/>
      <c r="B25" s="253" t="s">
        <v>31</v>
      </c>
      <c r="C25" s="212">
        <v>1.5</v>
      </c>
      <c r="D25" s="234">
        <v>6</v>
      </c>
      <c r="E25" s="212">
        <v>0</v>
      </c>
      <c r="F25" s="234">
        <v>0</v>
      </c>
      <c r="G25" s="212">
        <v>0</v>
      </c>
      <c r="H25" s="231">
        <v>0</v>
      </c>
      <c r="I25" s="467"/>
      <c r="J25" s="255" t="s">
        <v>49</v>
      </c>
      <c r="K25" s="97"/>
    </row>
    <row r="26" spans="1:11" x14ac:dyDescent="0.2">
      <c r="A26" s="416"/>
      <c r="B26" s="256" t="s">
        <v>32</v>
      </c>
      <c r="C26" s="219">
        <v>5.25</v>
      </c>
      <c r="D26" s="246">
        <v>49</v>
      </c>
      <c r="E26" s="219">
        <v>2</v>
      </c>
      <c r="F26" s="246">
        <v>16.5</v>
      </c>
      <c r="G26" s="219">
        <v>1.5</v>
      </c>
      <c r="H26" s="220">
        <v>8.5</v>
      </c>
      <c r="I26" s="467"/>
      <c r="J26" s="255" t="s">
        <v>50</v>
      </c>
      <c r="K26" s="97"/>
    </row>
    <row r="27" spans="1:11" x14ac:dyDescent="0.2">
      <c r="A27" s="416"/>
      <c r="B27" s="256" t="s">
        <v>33</v>
      </c>
      <c r="C27" s="212">
        <v>0</v>
      </c>
      <c r="D27" s="247">
        <v>0</v>
      </c>
      <c r="E27" s="212">
        <v>0</v>
      </c>
      <c r="F27" s="247">
        <v>0</v>
      </c>
      <c r="G27" s="212">
        <v>0</v>
      </c>
      <c r="H27" s="231">
        <v>0</v>
      </c>
      <c r="I27" s="467"/>
      <c r="J27" s="199" t="s">
        <v>54</v>
      </c>
      <c r="K27" s="97"/>
    </row>
    <row r="28" spans="1:11" x14ac:dyDescent="0.2">
      <c r="A28" s="416"/>
      <c r="B28" s="256" t="s">
        <v>34</v>
      </c>
      <c r="C28" s="219">
        <v>0</v>
      </c>
      <c r="D28" s="246">
        <v>0</v>
      </c>
      <c r="E28" s="219">
        <v>0</v>
      </c>
      <c r="F28" s="246">
        <v>0</v>
      </c>
      <c r="G28" s="219">
        <v>0</v>
      </c>
      <c r="H28" s="220">
        <v>0</v>
      </c>
      <c r="I28" s="467"/>
      <c r="J28" s="252" t="s">
        <v>47</v>
      </c>
      <c r="K28" s="97"/>
    </row>
    <row r="29" spans="1:11" x14ac:dyDescent="0.2">
      <c r="A29" s="416"/>
      <c r="B29" s="256" t="s">
        <v>35</v>
      </c>
      <c r="C29" s="212">
        <v>0</v>
      </c>
      <c r="D29" s="247">
        <v>0</v>
      </c>
      <c r="E29" s="212">
        <v>0</v>
      </c>
      <c r="F29" s="247">
        <v>0</v>
      </c>
      <c r="G29" s="212">
        <v>0</v>
      </c>
      <c r="H29" s="231">
        <v>0</v>
      </c>
      <c r="I29" s="467"/>
      <c r="J29" s="255" t="s">
        <v>48</v>
      </c>
      <c r="K29" s="97"/>
    </row>
    <row r="30" spans="1:11" x14ac:dyDescent="0.2">
      <c r="A30" s="416"/>
      <c r="B30" s="256" t="s">
        <v>36</v>
      </c>
      <c r="C30" s="219">
        <v>0</v>
      </c>
      <c r="D30" s="246">
        <v>0</v>
      </c>
      <c r="E30" s="219">
        <v>0</v>
      </c>
      <c r="F30" s="246">
        <v>0</v>
      </c>
      <c r="G30" s="219">
        <v>0</v>
      </c>
      <c r="H30" s="220">
        <v>0</v>
      </c>
      <c r="I30" s="467"/>
      <c r="J30" s="255" t="s">
        <v>49</v>
      </c>
      <c r="K30" s="97"/>
    </row>
    <row r="31" spans="1:11" x14ac:dyDescent="0.2">
      <c r="A31" s="416"/>
      <c r="B31" s="256" t="s">
        <v>37</v>
      </c>
      <c r="C31" s="212">
        <v>27.25</v>
      </c>
      <c r="D31" s="247">
        <v>137</v>
      </c>
      <c r="E31" s="212">
        <v>22.5</v>
      </c>
      <c r="F31" s="247">
        <v>128.75</v>
      </c>
      <c r="G31" s="212">
        <v>0.25</v>
      </c>
      <c r="H31" s="231">
        <v>2.5</v>
      </c>
      <c r="I31" s="467"/>
      <c r="J31" s="260" t="s">
        <v>50</v>
      </c>
      <c r="K31" s="97"/>
    </row>
    <row r="32" spans="1:11" x14ac:dyDescent="0.2">
      <c r="A32" s="416"/>
      <c r="B32" s="256" t="s">
        <v>38</v>
      </c>
      <c r="C32" s="219">
        <v>0</v>
      </c>
      <c r="D32" s="246">
        <v>0</v>
      </c>
      <c r="E32" s="219">
        <v>0</v>
      </c>
      <c r="F32" s="246">
        <v>0</v>
      </c>
      <c r="G32" s="219">
        <v>0</v>
      </c>
      <c r="H32" s="220">
        <v>0</v>
      </c>
      <c r="I32" s="467"/>
      <c r="J32" s="255" t="s">
        <v>51</v>
      </c>
      <c r="K32" s="97"/>
    </row>
    <row r="33" spans="1:14" x14ac:dyDescent="0.2">
      <c r="A33" s="416"/>
      <c r="B33" s="256" t="s">
        <v>39</v>
      </c>
      <c r="C33" s="212">
        <v>0</v>
      </c>
      <c r="D33" s="247">
        <v>0</v>
      </c>
      <c r="E33" s="212">
        <v>0</v>
      </c>
      <c r="F33" s="247">
        <v>0</v>
      </c>
      <c r="G33" s="212">
        <v>0</v>
      </c>
      <c r="H33" s="231">
        <v>0</v>
      </c>
      <c r="I33" s="467"/>
      <c r="J33" s="255" t="s">
        <v>49</v>
      </c>
      <c r="K33" s="97"/>
    </row>
    <row r="34" spans="1:14" ht="16" thickBot="1" x14ac:dyDescent="0.25">
      <c r="A34" s="416"/>
      <c r="B34" s="258" t="s">
        <v>40</v>
      </c>
      <c r="C34" s="221">
        <v>0</v>
      </c>
      <c r="D34" s="248">
        <v>0</v>
      </c>
      <c r="E34" s="221">
        <v>0</v>
      </c>
      <c r="F34" s="248">
        <v>0</v>
      </c>
      <c r="G34" s="221">
        <v>0</v>
      </c>
      <c r="H34" s="223">
        <v>0</v>
      </c>
      <c r="I34" s="467"/>
      <c r="J34" s="255" t="s">
        <v>50</v>
      </c>
      <c r="K34" s="97"/>
    </row>
    <row r="35" spans="1:14" x14ac:dyDescent="0.2">
      <c r="A35" s="416"/>
      <c r="B35" s="265"/>
      <c r="C35" s="265"/>
      <c r="D35" s="265"/>
      <c r="E35" s="265"/>
      <c r="F35" s="265"/>
      <c r="G35" s="265"/>
      <c r="H35" s="266"/>
      <c r="I35" s="467"/>
      <c r="J35" s="199" t="s">
        <v>55</v>
      </c>
    </row>
    <row r="36" spans="1:14" x14ac:dyDescent="0.2">
      <c r="A36" s="416"/>
      <c r="B36" s="265"/>
      <c r="C36" s="265"/>
      <c r="D36" s="265"/>
      <c r="E36" s="265"/>
      <c r="F36" s="265"/>
      <c r="G36" s="265"/>
      <c r="H36" s="266"/>
      <c r="I36" s="467"/>
      <c r="J36" s="252" t="s">
        <v>47</v>
      </c>
    </row>
    <row r="37" spans="1:14" x14ac:dyDescent="0.2">
      <c r="A37" s="416"/>
      <c r="B37" s="265"/>
      <c r="C37" s="265"/>
      <c r="D37" s="265"/>
      <c r="E37" s="265"/>
      <c r="F37" s="265"/>
      <c r="G37" s="265"/>
      <c r="H37" s="266"/>
      <c r="I37" s="467"/>
      <c r="J37" s="255" t="s">
        <v>48</v>
      </c>
    </row>
    <row r="38" spans="1:14" ht="16" thickBot="1" x14ac:dyDescent="0.25">
      <c r="A38" s="416"/>
      <c r="B38" s="267"/>
      <c r="C38" s="267"/>
      <c r="D38" s="267"/>
      <c r="E38" s="267"/>
      <c r="F38" s="267"/>
      <c r="G38" s="267"/>
      <c r="H38" s="268"/>
      <c r="I38" s="467"/>
      <c r="J38" s="255" t="s">
        <v>49</v>
      </c>
    </row>
    <row r="39" spans="1:14" x14ac:dyDescent="0.2">
      <c r="A39" s="416"/>
      <c r="B39" s="546" t="s">
        <v>349</v>
      </c>
      <c r="C39" s="411" t="s">
        <v>376</v>
      </c>
      <c r="D39" s="409"/>
      <c r="E39" s="409"/>
      <c r="F39" s="409"/>
      <c r="G39" s="409"/>
      <c r="H39" s="410"/>
      <c r="I39" s="467"/>
      <c r="J39" s="260" t="s">
        <v>50</v>
      </c>
    </row>
    <row r="40" spans="1:14" x14ac:dyDescent="0.2">
      <c r="A40" s="416"/>
      <c r="B40" s="547"/>
      <c r="C40" s="532" t="s">
        <v>8</v>
      </c>
      <c r="D40" s="533"/>
      <c r="E40" s="533" t="s">
        <v>9</v>
      </c>
      <c r="F40" s="533"/>
      <c r="G40" s="533" t="s">
        <v>10</v>
      </c>
      <c r="H40" s="535"/>
      <c r="I40" s="467"/>
      <c r="J40" s="255" t="s">
        <v>51</v>
      </c>
    </row>
    <row r="41" spans="1:14" x14ac:dyDescent="0.2">
      <c r="A41" s="416"/>
      <c r="B41" s="547"/>
      <c r="C41" s="253" t="s">
        <v>5</v>
      </c>
      <c r="D41" s="229">
        <v>626</v>
      </c>
      <c r="E41" s="254" t="s">
        <v>263</v>
      </c>
      <c r="F41" s="229">
        <v>177</v>
      </c>
      <c r="G41" s="254" t="s">
        <v>5</v>
      </c>
      <c r="H41" s="232">
        <v>768</v>
      </c>
      <c r="I41" s="467"/>
      <c r="J41" s="255" t="s">
        <v>49</v>
      </c>
    </row>
    <row r="42" spans="1:14" ht="16" thickBot="1" x14ac:dyDescent="0.25">
      <c r="A42" s="416"/>
      <c r="B42" s="547"/>
      <c r="C42" s="256" t="s">
        <v>6</v>
      </c>
      <c r="D42" s="219">
        <v>532</v>
      </c>
      <c r="E42" s="257" t="s">
        <v>329</v>
      </c>
      <c r="F42" s="219">
        <v>143.15</v>
      </c>
      <c r="G42" s="257" t="s">
        <v>6</v>
      </c>
      <c r="H42" s="220">
        <v>581</v>
      </c>
      <c r="I42" s="468"/>
      <c r="J42" s="269" t="s">
        <v>50</v>
      </c>
    </row>
    <row r="43" spans="1:14" ht="16" thickBot="1" x14ac:dyDescent="0.25">
      <c r="A43" s="416"/>
      <c r="B43" s="547"/>
      <c r="C43" s="258" t="s">
        <v>7</v>
      </c>
      <c r="D43" s="222" t="s">
        <v>197</v>
      </c>
      <c r="E43" s="259" t="s">
        <v>7</v>
      </c>
      <c r="F43" s="222">
        <v>33.849999999999994</v>
      </c>
      <c r="G43" s="259" t="s">
        <v>7</v>
      </c>
      <c r="H43" s="233">
        <v>50</v>
      </c>
      <c r="I43" s="466" t="s">
        <v>60</v>
      </c>
      <c r="J43" s="197" t="s">
        <v>56</v>
      </c>
      <c r="K43" s="95"/>
      <c r="L43" s="95"/>
      <c r="M43" s="95"/>
      <c r="N43" s="95"/>
    </row>
    <row r="44" spans="1:14" x14ac:dyDescent="0.2">
      <c r="A44" s="416"/>
      <c r="B44" s="547"/>
      <c r="C44" s="411" t="s">
        <v>12</v>
      </c>
      <c r="D44" s="409"/>
      <c r="E44" s="409"/>
      <c r="F44" s="409"/>
      <c r="G44" s="525" t="s">
        <v>2</v>
      </c>
      <c r="H44" s="321"/>
      <c r="I44" s="467"/>
      <c r="J44" s="252" t="s">
        <v>47</v>
      </c>
      <c r="K44" s="94"/>
    </row>
    <row r="45" spans="1:14" x14ac:dyDescent="0.2">
      <c r="A45" s="416"/>
      <c r="B45" s="547"/>
      <c r="C45" s="532" t="s">
        <v>8</v>
      </c>
      <c r="D45" s="533"/>
      <c r="E45" s="533" t="s">
        <v>10</v>
      </c>
      <c r="F45" s="533"/>
      <c r="G45" s="544"/>
      <c r="H45" s="545"/>
      <c r="I45" s="467"/>
      <c r="J45" s="255" t="s">
        <v>48</v>
      </c>
      <c r="K45" s="96"/>
    </row>
    <row r="46" spans="1:14" x14ac:dyDescent="0.2">
      <c r="A46" s="416"/>
      <c r="B46" s="547"/>
      <c r="C46" s="256" t="s">
        <v>5</v>
      </c>
      <c r="D46" s="212">
        <v>136</v>
      </c>
      <c r="E46" s="257" t="s">
        <v>5</v>
      </c>
      <c r="F46" s="212">
        <v>19</v>
      </c>
      <c r="G46" s="256" t="s">
        <v>18</v>
      </c>
      <c r="H46" s="220">
        <v>18.5</v>
      </c>
      <c r="I46" s="467"/>
      <c r="J46" s="255" t="s">
        <v>49</v>
      </c>
      <c r="K46" s="96"/>
    </row>
    <row r="47" spans="1:14" x14ac:dyDescent="0.2">
      <c r="A47" s="416"/>
      <c r="B47" s="547"/>
      <c r="C47" s="256" t="s">
        <v>6</v>
      </c>
      <c r="D47" s="219">
        <v>98</v>
      </c>
      <c r="E47" s="257" t="s">
        <v>6</v>
      </c>
      <c r="F47" s="219">
        <v>0</v>
      </c>
      <c r="G47" s="256" t="s">
        <v>19</v>
      </c>
      <c r="H47" s="231">
        <v>33</v>
      </c>
      <c r="I47" s="467"/>
      <c r="J47" s="260" t="s">
        <v>50</v>
      </c>
      <c r="K47" s="96"/>
    </row>
    <row r="48" spans="1:14" ht="16" thickBot="1" x14ac:dyDescent="0.25">
      <c r="A48" s="416"/>
      <c r="B48" s="547"/>
      <c r="C48" s="258" t="s">
        <v>7</v>
      </c>
      <c r="D48" s="222">
        <v>8</v>
      </c>
      <c r="E48" s="259" t="s">
        <v>7</v>
      </c>
      <c r="F48" s="222">
        <v>0</v>
      </c>
      <c r="G48" s="258" t="s">
        <v>20</v>
      </c>
      <c r="H48" s="223">
        <v>6</v>
      </c>
      <c r="I48" s="467"/>
      <c r="J48" s="255" t="s">
        <v>51</v>
      </c>
      <c r="K48" s="96"/>
    </row>
    <row r="49" spans="1:11" ht="16" thickBot="1" x14ac:dyDescent="0.25">
      <c r="A49" s="416"/>
      <c r="B49" s="547"/>
      <c r="C49" s="523" t="s">
        <v>0</v>
      </c>
      <c r="D49" s="524"/>
      <c r="E49" s="261" t="s">
        <v>267</v>
      </c>
      <c r="F49" s="230">
        <v>60</v>
      </c>
      <c r="G49" s="261" t="s">
        <v>268</v>
      </c>
      <c r="H49" s="206">
        <v>40</v>
      </c>
      <c r="I49" s="467"/>
      <c r="J49" s="255" t="s">
        <v>49</v>
      </c>
      <c r="K49" s="96"/>
    </row>
    <row r="50" spans="1:11" x14ac:dyDescent="0.2">
      <c r="A50" s="416"/>
      <c r="B50" s="547"/>
      <c r="C50" s="525" t="s">
        <v>262</v>
      </c>
      <c r="D50" s="320"/>
      <c r="E50" s="320"/>
      <c r="F50" s="320"/>
      <c r="G50" s="320"/>
      <c r="H50" s="321"/>
      <c r="I50" s="467"/>
      <c r="J50" s="255" t="s">
        <v>50</v>
      </c>
      <c r="K50" s="96"/>
    </row>
    <row r="51" spans="1:11" x14ac:dyDescent="0.2">
      <c r="A51" s="416"/>
      <c r="B51" s="547"/>
      <c r="C51" s="262" t="s">
        <v>263</v>
      </c>
      <c r="D51" s="263" t="s">
        <v>132</v>
      </c>
      <c r="E51" s="263" t="s">
        <v>264</v>
      </c>
      <c r="F51" s="263" t="s">
        <v>22</v>
      </c>
      <c r="G51" s="263" t="s">
        <v>259</v>
      </c>
      <c r="H51" s="264" t="s">
        <v>97</v>
      </c>
      <c r="I51" s="467"/>
      <c r="J51" s="199" t="s">
        <v>57</v>
      </c>
      <c r="K51" s="96"/>
    </row>
    <row r="52" spans="1:11" ht="16" thickBot="1" x14ac:dyDescent="0.25">
      <c r="A52" s="416"/>
      <c r="B52" s="547"/>
      <c r="C52" s="168">
        <v>87</v>
      </c>
      <c r="D52" s="219">
        <v>13</v>
      </c>
      <c r="E52" s="212">
        <v>16</v>
      </c>
      <c r="F52" s="219">
        <v>4</v>
      </c>
      <c r="G52" s="212">
        <v>9</v>
      </c>
      <c r="H52" s="220">
        <v>2</v>
      </c>
      <c r="I52" s="467"/>
      <c r="J52" s="252" t="s">
        <v>47</v>
      </c>
      <c r="K52" s="96"/>
    </row>
    <row r="53" spans="1:11" x14ac:dyDescent="0.2">
      <c r="A53" s="416"/>
      <c r="B53" s="547"/>
      <c r="C53" s="525" t="s">
        <v>265</v>
      </c>
      <c r="D53" s="320"/>
      <c r="E53" s="320"/>
      <c r="F53" s="320"/>
      <c r="G53" s="320"/>
      <c r="H53" s="321"/>
      <c r="I53" s="467"/>
      <c r="J53" s="255" t="s">
        <v>48</v>
      </c>
      <c r="K53" s="96"/>
    </row>
    <row r="54" spans="1:11" x14ac:dyDescent="0.2">
      <c r="A54" s="416"/>
      <c r="B54" s="547"/>
      <c r="C54" s="262" t="s">
        <v>263</v>
      </c>
      <c r="D54" s="263" t="s">
        <v>132</v>
      </c>
      <c r="E54" s="263" t="s">
        <v>264</v>
      </c>
      <c r="F54" s="263" t="s">
        <v>22</v>
      </c>
      <c r="G54" s="263" t="s">
        <v>259</v>
      </c>
      <c r="H54" s="264" t="s">
        <v>97</v>
      </c>
      <c r="I54" s="467"/>
      <c r="J54" s="255" t="s">
        <v>49</v>
      </c>
      <c r="K54" s="96"/>
    </row>
    <row r="55" spans="1:11" ht="16" thickBot="1" x14ac:dyDescent="0.25">
      <c r="A55" s="416"/>
      <c r="B55" s="547"/>
      <c r="C55" s="245">
        <v>708</v>
      </c>
      <c r="D55" s="219">
        <v>107</v>
      </c>
      <c r="E55" s="212">
        <v>128</v>
      </c>
      <c r="F55" s="219">
        <v>32</v>
      </c>
      <c r="G55" s="212">
        <v>67</v>
      </c>
      <c r="H55" s="220">
        <v>12</v>
      </c>
      <c r="I55" s="467"/>
      <c r="J55" s="260" t="s">
        <v>50</v>
      </c>
      <c r="K55" s="96"/>
    </row>
    <row r="56" spans="1:11" x14ac:dyDescent="0.2">
      <c r="A56" s="416"/>
      <c r="B56" s="547"/>
      <c r="C56" s="411" t="s">
        <v>1</v>
      </c>
      <c r="D56" s="409"/>
      <c r="E56" s="409"/>
      <c r="F56" s="409"/>
      <c r="G56" s="409"/>
      <c r="H56" s="410"/>
      <c r="I56" s="467"/>
      <c r="J56" s="255" t="s">
        <v>51</v>
      </c>
      <c r="K56" s="96"/>
    </row>
    <row r="57" spans="1:11" x14ac:dyDescent="0.2">
      <c r="A57" s="416"/>
      <c r="B57" s="547"/>
      <c r="C57" s="216" t="s">
        <v>266</v>
      </c>
      <c r="D57" s="217" t="s">
        <v>45</v>
      </c>
      <c r="E57" s="217" t="s">
        <v>15</v>
      </c>
      <c r="F57" s="217" t="s">
        <v>14</v>
      </c>
      <c r="G57" s="217" t="s">
        <v>41</v>
      </c>
      <c r="H57" s="218" t="s">
        <v>43</v>
      </c>
      <c r="I57" s="467"/>
      <c r="J57" s="255" t="s">
        <v>49</v>
      </c>
      <c r="K57" s="96"/>
    </row>
    <row r="58" spans="1:11" ht="16" thickBot="1" x14ac:dyDescent="0.25">
      <c r="A58" s="416"/>
      <c r="B58" s="548"/>
      <c r="C58" s="186">
        <v>0</v>
      </c>
      <c r="D58" s="221">
        <v>3</v>
      </c>
      <c r="E58" s="222">
        <v>10</v>
      </c>
      <c r="F58" s="221">
        <v>4</v>
      </c>
      <c r="G58" s="222">
        <v>1</v>
      </c>
      <c r="H58" s="223">
        <v>7</v>
      </c>
      <c r="I58" s="467"/>
      <c r="J58" s="255" t="s">
        <v>50</v>
      </c>
      <c r="K58" s="96"/>
    </row>
    <row r="59" spans="1:11" x14ac:dyDescent="0.2">
      <c r="A59" s="416"/>
      <c r="B59" s="411" t="s">
        <v>23</v>
      </c>
      <c r="C59" s="409"/>
      <c r="D59" s="409"/>
      <c r="E59" s="409"/>
      <c r="F59" s="409"/>
      <c r="G59" s="409"/>
      <c r="H59" s="410"/>
      <c r="I59" s="467"/>
      <c r="J59" s="199" t="s">
        <v>54</v>
      </c>
      <c r="K59" s="96"/>
    </row>
    <row r="60" spans="1:11" x14ac:dyDescent="0.2">
      <c r="A60" s="416"/>
      <c r="B60" s="216" t="s">
        <v>24</v>
      </c>
      <c r="C60" s="217" t="s">
        <v>25</v>
      </c>
      <c r="D60" s="217" t="s">
        <v>28</v>
      </c>
      <c r="E60" s="217" t="s">
        <v>26</v>
      </c>
      <c r="F60" s="217" t="s">
        <v>30</v>
      </c>
      <c r="G60" s="217" t="s">
        <v>27</v>
      </c>
      <c r="H60" s="218" t="s">
        <v>29</v>
      </c>
      <c r="I60" s="467"/>
      <c r="J60" s="252" t="s">
        <v>47</v>
      </c>
      <c r="K60" s="96"/>
    </row>
    <row r="61" spans="1:11" x14ac:dyDescent="0.2">
      <c r="A61" s="416"/>
      <c r="B61" s="253" t="s">
        <v>31</v>
      </c>
      <c r="C61" s="212">
        <v>1.5</v>
      </c>
      <c r="D61" s="234">
        <v>6</v>
      </c>
      <c r="E61" s="212">
        <v>0</v>
      </c>
      <c r="F61" s="234">
        <v>0</v>
      </c>
      <c r="G61" s="212">
        <v>0</v>
      </c>
      <c r="H61" s="231">
        <v>0</v>
      </c>
      <c r="I61" s="467"/>
      <c r="J61" s="255" t="s">
        <v>48</v>
      </c>
      <c r="K61" s="96"/>
    </row>
    <row r="62" spans="1:11" x14ac:dyDescent="0.2">
      <c r="A62" s="416"/>
      <c r="B62" s="256" t="s">
        <v>32</v>
      </c>
      <c r="C62" s="219">
        <v>5.25</v>
      </c>
      <c r="D62" s="246">
        <v>49</v>
      </c>
      <c r="E62" s="219">
        <v>2</v>
      </c>
      <c r="F62" s="246">
        <v>16.5</v>
      </c>
      <c r="G62" s="219">
        <v>1.5</v>
      </c>
      <c r="H62" s="220">
        <v>8.5</v>
      </c>
      <c r="I62" s="467"/>
      <c r="J62" s="255" t="s">
        <v>49</v>
      </c>
      <c r="K62" s="96"/>
    </row>
    <row r="63" spans="1:11" x14ac:dyDescent="0.2">
      <c r="A63" s="416"/>
      <c r="B63" s="256" t="s">
        <v>33</v>
      </c>
      <c r="C63" s="212">
        <v>0</v>
      </c>
      <c r="D63" s="247">
        <v>0</v>
      </c>
      <c r="E63" s="212">
        <v>0</v>
      </c>
      <c r="F63" s="247">
        <v>0</v>
      </c>
      <c r="G63" s="212">
        <v>0</v>
      </c>
      <c r="H63" s="231">
        <v>0</v>
      </c>
      <c r="I63" s="467"/>
      <c r="J63" s="260" t="s">
        <v>50</v>
      </c>
      <c r="K63" s="96"/>
    </row>
    <row r="64" spans="1:11" x14ac:dyDescent="0.2">
      <c r="A64" s="416"/>
      <c r="B64" s="256" t="s">
        <v>34</v>
      </c>
      <c r="C64" s="219">
        <v>0</v>
      </c>
      <c r="D64" s="246">
        <v>0</v>
      </c>
      <c r="E64" s="219">
        <v>0</v>
      </c>
      <c r="F64" s="246">
        <v>0</v>
      </c>
      <c r="G64" s="219">
        <v>0</v>
      </c>
      <c r="H64" s="220">
        <v>0</v>
      </c>
      <c r="I64" s="467"/>
      <c r="J64" s="255" t="s">
        <v>51</v>
      </c>
      <c r="K64" s="96"/>
    </row>
    <row r="65" spans="1:11" x14ac:dyDescent="0.2">
      <c r="A65" s="416"/>
      <c r="B65" s="256" t="s">
        <v>35</v>
      </c>
      <c r="C65" s="212">
        <v>0</v>
      </c>
      <c r="D65" s="247">
        <v>0</v>
      </c>
      <c r="E65" s="212">
        <v>0</v>
      </c>
      <c r="F65" s="247">
        <v>0</v>
      </c>
      <c r="G65" s="212">
        <v>0</v>
      </c>
      <c r="H65" s="231">
        <v>0</v>
      </c>
      <c r="I65" s="467"/>
      <c r="J65" s="255" t="s">
        <v>49</v>
      </c>
      <c r="K65" s="96"/>
    </row>
    <row r="66" spans="1:11" x14ac:dyDescent="0.2">
      <c r="A66" s="416"/>
      <c r="B66" s="256" t="s">
        <v>36</v>
      </c>
      <c r="C66" s="219">
        <v>0</v>
      </c>
      <c r="D66" s="246">
        <v>0</v>
      </c>
      <c r="E66" s="219">
        <v>0</v>
      </c>
      <c r="F66" s="246">
        <v>0</v>
      </c>
      <c r="G66" s="219">
        <v>0</v>
      </c>
      <c r="H66" s="220">
        <v>0</v>
      </c>
      <c r="I66" s="467"/>
      <c r="J66" s="255" t="s">
        <v>50</v>
      </c>
      <c r="K66" s="96"/>
    </row>
    <row r="67" spans="1:11" x14ac:dyDescent="0.2">
      <c r="A67" s="416"/>
      <c r="B67" s="256" t="s">
        <v>37</v>
      </c>
      <c r="C67" s="212">
        <v>27.25</v>
      </c>
      <c r="D67" s="247">
        <v>137</v>
      </c>
      <c r="E67" s="212">
        <v>22.5</v>
      </c>
      <c r="F67" s="247">
        <v>128.75</v>
      </c>
      <c r="G67" s="212">
        <v>0.25</v>
      </c>
      <c r="H67" s="231">
        <v>2.5</v>
      </c>
      <c r="I67" s="467"/>
      <c r="J67" s="199" t="s">
        <v>55</v>
      </c>
      <c r="K67" s="96"/>
    </row>
    <row r="68" spans="1:11" x14ac:dyDescent="0.2">
      <c r="A68" s="416"/>
      <c r="B68" s="256" t="s">
        <v>38</v>
      </c>
      <c r="C68" s="219">
        <v>0</v>
      </c>
      <c r="D68" s="246">
        <v>0</v>
      </c>
      <c r="E68" s="219">
        <v>0</v>
      </c>
      <c r="F68" s="246">
        <v>0</v>
      </c>
      <c r="G68" s="219">
        <v>0</v>
      </c>
      <c r="H68" s="220">
        <v>0</v>
      </c>
      <c r="I68" s="467"/>
      <c r="J68" s="252" t="s">
        <v>47</v>
      </c>
      <c r="K68" s="96"/>
    </row>
    <row r="69" spans="1:11" x14ac:dyDescent="0.2">
      <c r="A69" s="207"/>
      <c r="B69" s="256" t="s">
        <v>39</v>
      </c>
      <c r="C69" s="212">
        <v>0</v>
      </c>
      <c r="D69" s="247">
        <v>0</v>
      </c>
      <c r="E69" s="212">
        <v>0</v>
      </c>
      <c r="F69" s="247">
        <v>0</v>
      </c>
      <c r="G69" s="212">
        <v>0</v>
      </c>
      <c r="H69" s="231">
        <v>0</v>
      </c>
      <c r="I69" s="467"/>
      <c r="J69" s="255" t="s">
        <v>48</v>
      </c>
      <c r="K69" s="96"/>
    </row>
    <row r="70" spans="1:11" ht="16" thickBot="1" x14ac:dyDescent="0.25">
      <c r="A70" s="207"/>
      <c r="B70" s="258" t="s">
        <v>40</v>
      </c>
      <c r="C70" s="221">
        <v>0</v>
      </c>
      <c r="D70" s="248">
        <v>0</v>
      </c>
      <c r="E70" s="221">
        <v>0</v>
      </c>
      <c r="F70" s="248">
        <v>0</v>
      </c>
      <c r="G70" s="221">
        <v>0</v>
      </c>
      <c r="H70" s="223">
        <v>0</v>
      </c>
      <c r="I70" s="467"/>
      <c r="J70" s="255" t="s">
        <v>49</v>
      </c>
      <c r="K70" s="96"/>
    </row>
    <row r="71" spans="1:11" x14ac:dyDescent="0.2">
      <c r="A71" s="207"/>
      <c r="B71" s="270"/>
      <c r="C71" s="270"/>
      <c r="D71" s="270"/>
      <c r="E71" s="270"/>
      <c r="F71" s="270"/>
      <c r="G71" s="270"/>
      <c r="H71" s="209"/>
      <c r="I71" s="467"/>
      <c r="J71" s="260" t="s">
        <v>50</v>
      </c>
      <c r="K71" s="96"/>
    </row>
    <row r="72" spans="1:11" x14ac:dyDescent="0.2">
      <c r="A72" s="207"/>
      <c r="B72" s="270"/>
      <c r="C72" s="270"/>
      <c r="D72" s="270"/>
      <c r="E72" s="270"/>
      <c r="F72" s="270"/>
      <c r="G72" s="270"/>
      <c r="H72" s="209"/>
      <c r="I72" s="467"/>
      <c r="J72" s="255" t="s">
        <v>51</v>
      </c>
      <c r="K72" s="96"/>
    </row>
    <row r="73" spans="1:11" x14ac:dyDescent="0.2">
      <c r="A73" s="207"/>
      <c r="B73" s="270"/>
      <c r="C73" s="270"/>
      <c r="D73" s="270"/>
      <c r="E73" s="270"/>
      <c r="F73" s="270"/>
      <c r="G73" s="270"/>
      <c r="H73" s="209"/>
      <c r="I73" s="467"/>
      <c r="J73" s="255" t="s">
        <v>49</v>
      </c>
      <c r="K73" s="96"/>
    </row>
    <row r="74" spans="1:11" ht="16" thickBot="1" x14ac:dyDescent="0.25">
      <c r="A74" s="208"/>
      <c r="B74" s="210"/>
      <c r="C74" s="210"/>
      <c r="D74" s="210"/>
      <c r="E74" s="210"/>
      <c r="F74" s="210"/>
      <c r="G74" s="210"/>
      <c r="H74" s="211"/>
      <c r="I74" s="468"/>
      <c r="J74" s="269" t="s">
        <v>50</v>
      </c>
      <c r="K74" s="96"/>
    </row>
  </sheetData>
  <mergeCells count="33">
    <mergeCell ref="I43:I74"/>
    <mergeCell ref="C44:F44"/>
    <mergeCell ref="C50:H50"/>
    <mergeCell ref="C53:H53"/>
    <mergeCell ref="B59:H59"/>
    <mergeCell ref="C14:H14"/>
    <mergeCell ref="C17:H17"/>
    <mergeCell ref="C20:H20"/>
    <mergeCell ref="B23:H23"/>
    <mergeCell ref="C49:D49"/>
    <mergeCell ref="B39:B58"/>
    <mergeCell ref="C39:H39"/>
    <mergeCell ref="C40:D40"/>
    <mergeCell ref="G40:H40"/>
    <mergeCell ref="E45:F45"/>
    <mergeCell ref="E40:F40"/>
    <mergeCell ref="G44:H45"/>
    <mergeCell ref="G1:I1"/>
    <mergeCell ref="A2:J2"/>
    <mergeCell ref="A3:A68"/>
    <mergeCell ref="B3:B22"/>
    <mergeCell ref="C3:H3"/>
    <mergeCell ref="I3:I42"/>
    <mergeCell ref="C4:D4"/>
    <mergeCell ref="E4:F4"/>
    <mergeCell ref="G4:H4"/>
    <mergeCell ref="C8:F8"/>
    <mergeCell ref="G8:H9"/>
    <mergeCell ref="C9:D9"/>
    <mergeCell ref="C56:H56"/>
    <mergeCell ref="E9:F9"/>
    <mergeCell ref="C13:D13"/>
    <mergeCell ref="C45:D45"/>
  </mergeCells>
  <pageMargins left="0.7" right="0.7" top="0.75" bottom="0.75" header="0.3" footer="0.3"/>
  <pageSetup paperSize="5" scale="76"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3DAA6-CFB9-420E-A9FA-840914ACAA5D}">
  <sheetPr codeName="Sheet41">
    <tabColor theme="9"/>
  </sheetPr>
  <dimension ref="A1:N74"/>
  <sheetViews>
    <sheetView workbookViewId="0"/>
  </sheetViews>
  <sheetFormatPr baseColWidth="10" defaultColWidth="8.83203125" defaultRowHeight="15" x14ac:dyDescent="0.2"/>
  <sheetData>
    <row r="1" spans="1:11" ht="16" thickBot="1" x14ac:dyDescent="0.25">
      <c r="A1" s="180"/>
      <c r="B1" s="142"/>
      <c r="C1" s="142"/>
      <c r="D1" s="142"/>
      <c r="E1" s="142"/>
      <c r="F1" s="142"/>
      <c r="G1" s="513" t="s">
        <v>375</v>
      </c>
      <c r="H1" s="513"/>
      <c r="I1" s="513"/>
      <c r="J1" s="275">
        <v>8</v>
      </c>
    </row>
    <row r="2" spans="1:11" ht="16" thickBot="1" x14ac:dyDescent="0.25">
      <c r="A2" s="414" t="s">
        <v>4</v>
      </c>
      <c r="B2" s="415"/>
      <c r="C2" s="415"/>
      <c r="D2" s="415"/>
      <c r="E2" s="415"/>
      <c r="F2" s="415"/>
      <c r="G2" s="415"/>
      <c r="H2" s="415"/>
      <c r="I2" s="415"/>
      <c r="J2" s="551"/>
    </row>
    <row r="3" spans="1:11" x14ac:dyDescent="0.2">
      <c r="A3" s="416"/>
      <c r="B3" s="546" t="s">
        <v>58</v>
      </c>
      <c r="C3" s="411" t="s">
        <v>376</v>
      </c>
      <c r="D3" s="409"/>
      <c r="E3" s="409"/>
      <c r="F3" s="409"/>
      <c r="G3" s="409"/>
      <c r="H3" s="410"/>
      <c r="I3" s="466" t="s">
        <v>59</v>
      </c>
      <c r="J3" s="276" t="s">
        <v>46</v>
      </c>
      <c r="K3" s="97"/>
    </row>
    <row r="4" spans="1:11" x14ac:dyDescent="0.2">
      <c r="A4" s="416"/>
      <c r="B4" s="547"/>
      <c r="C4" s="532" t="s">
        <v>8</v>
      </c>
      <c r="D4" s="533"/>
      <c r="E4" s="533" t="s">
        <v>9</v>
      </c>
      <c r="F4" s="533"/>
      <c r="G4" s="533" t="s">
        <v>10</v>
      </c>
      <c r="H4" s="535"/>
      <c r="I4" s="467"/>
      <c r="J4" s="277" t="s">
        <v>47</v>
      </c>
      <c r="K4" s="97"/>
    </row>
    <row r="5" spans="1:11" x14ac:dyDescent="0.2">
      <c r="A5" s="416"/>
      <c r="B5" s="547"/>
      <c r="C5" s="21" t="s">
        <v>5</v>
      </c>
      <c r="D5" s="165">
        <v>85.5</v>
      </c>
      <c r="E5" s="24" t="s">
        <v>263</v>
      </c>
      <c r="F5" s="165">
        <v>114</v>
      </c>
      <c r="G5" s="24" t="s">
        <v>5</v>
      </c>
      <c r="H5" s="164">
        <v>143.75</v>
      </c>
      <c r="I5" s="467"/>
      <c r="J5" s="278" t="s">
        <v>48</v>
      </c>
      <c r="K5" s="97"/>
    </row>
    <row r="6" spans="1:11" x14ac:dyDescent="0.2">
      <c r="A6" s="416"/>
      <c r="B6" s="547"/>
      <c r="C6" s="22" t="s">
        <v>6</v>
      </c>
      <c r="D6" s="30">
        <v>80.5</v>
      </c>
      <c r="E6" s="25" t="s">
        <v>329</v>
      </c>
      <c r="F6" s="30">
        <v>92.65</v>
      </c>
      <c r="G6" s="25" t="s">
        <v>6</v>
      </c>
      <c r="H6" s="31">
        <v>130.25</v>
      </c>
      <c r="I6" s="467"/>
      <c r="J6" s="278" t="s">
        <v>49</v>
      </c>
      <c r="K6" s="97"/>
    </row>
    <row r="7" spans="1:11" ht="16" thickBot="1" x14ac:dyDescent="0.25">
      <c r="A7" s="416"/>
      <c r="B7" s="547"/>
      <c r="C7" s="23" t="s">
        <v>7</v>
      </c>
      <c r="D7" s="4" t="s">
        <v>197</v>
      </c>
      <c r="E7" s="26" t="s">
        <v>7</v>
      </c>
      <c r="F7" s="4">
        <v>21.35</v>
      </c>
      <c r="G7" s="26" t="s">
        <v>7</v>
      </c>
      <c r="H7" s="5">
        <v>13.5</v>
      </c>
      <c r="I7" s="467"/>
      <c r="J7" s="279" t="s">
        <v>50</v>
      </c>
      <c r="K7" s="97"/>
    </row>
    <row r="8" spans="1:11" x14ac:dyDescent="0.2">
      <c r="A8" s="416"/>
      <c r="B8" s="547"/>
      <c r="C8" s="411" t="s">
        <v>12</v>
      </c>
      <c r="D8" s="409"/>
      <c r="E8" s="409"/>
      <c r="F8" s="409"/>
      <c r="G8" s="525" t="s">
        <v>2</v>
      </c>
      <c r="H8" s="321"/>
      <c r="I8" s="467"/>
      <c r="J8" s="278" t="s">
        <v>51</v>
      </c>
      <c r="K8" s="97"/>
    </row>
    <row r="9" spans="1:11" x14ac:dyDescent="0.2">
      <c r="A9" s="416"/>
      <c r="B9" s="547"/>
      <c r="C9" s="532" t="s">
        <v>8</v>
      </c>
      <c r="D9" s="533"/>
      <c r="E9" s="533" t="s">
        <v>10</v>
      </c>
      <c r="F9" s="533"/>
      <c r="G9" s="544"/>
      <c r="H9" s="545"/>
      <c r="I9" s="467"/>
      <c r="J9" s="278" t="s">
        <v>49</v>
      </c>
      <c r="K9" s="97"/>
    </row>
    <row r="10" spans="1:11" x14ac:dyDescent="0.2">
      <c r="A10" s="416"/>
      <c r="B10" s="547"/>
      <c r="C10" s="22" t="s">
        <v>5</v>
      </c>
      <c r="D10">
        <v>17.5</v>
      </c>
      <c r="E10" s="25" t="s">
        <v>5</v>
      </c>
      <c r="F10">
        <v>15</v>
      </c>
      <c r="G10" s="22" t="s">
        <v>18</v>
      </c>
      <c r="H10" s="31">
        <v>4.5</v>
      </c>
      <c r="I10" s="467"/>
      <c r="J10" s="278" t="s">
        <v>50</v>
      </c>
      <c r="K10" s="97"/>
    </row>
    <row r="11" spans="1:11" x14ac:dyDescent="0.2">
      <c r="A11" s="416"/>
      <c r="B11" s="547"/>
      <c r="C11" s="22" t="s">
        <v>6</v>
      </c>
      <c r="D11" s="30">
        <v>15.75</v>
      </c>
      <c r="E11" s="25" t="s">
        <v>6</v>
      </c>
      <c r="F11" s="30">
        <v>13.5</v>
      </c>
      <c r="G11" s="22" t="s">
        <v>19</v>
      </c>
      <c r="H11" s="2">
        <v>6.5</v>
      </c>
      <c r="I11" s="467"/>
      <c r="J11" s="280" t="s">
        <v>52</v>
      </c>
      <c r="K11" s="97"/>
    </row>
    <row r="12" spans="1:11" ht="16" thickBot="1" x14ac:dyDescent="0.25">
      <c r="A12" s="416"/>
      <c r="B12" s="547"/>
      <c r="C12" s="23" t="s">
        <v>7</v>
      </c>
      <c r="D12" s="4">
        <v>0.75</v>
      </c>
      <c r="E12" s="26" t="s">
        <v>7</v>
      </c>
      <c r="F12" s="4">
        <v>13.5</v>
      </c>
      <c r="G12" s="23" t="s">
        <v>20</v>
      </c>
      <c r="H12" s="33">
        <v>1.75</v>
      </c>
      <c r="I12" s="467"/>
      <c r="J12" s="277" t="s">
        <v>47</v>
      </c>
      <c r="K12" s="97"/>
    </row>
    <row r="13" spans="1:11" ht="16" thickBot="1" x14ac:dyDescent="0.25">
      <c r="A13" s="416"/>
      <c r="B13" s="547"/>
      <c r="C13" s="523" t="s">
        <v>0</v>
      </c>
      <c r="D13" s="524"/>
      <c r="E13" s="133" t="s">
        <v>267</v>
      </c>
      <c r="F13" s="135">
        <v>15</v>
      </c>
      <c r="G13" s="133" t="s">
        <v>268</v>
      </c>
      <c r="H13" s="134">
        <v>5.5</v>
      </c>
      <c r="I13" s="467"/>
      <c r="J13" s="278" t="s">
        <v>48</v>
      </c>
      <c r="K13" s="97"/>
    </row>
    <row r="14" spans="1:11" x14ac:dyDescent="0.2">
      <c r="A14" s="416"/>
      <c r="B14" s="547"/>
      <c r="C14" s="525" t="s">
        <v>262</v>
      </c>
      <c r="D14" s="320"/>
      <c r="E14" s="320"/>
      <c r="F14" s="320"/>
      <c r="G14" s="320"/>
      <c r="H14" s="321"/>
      <c r="I14" s="467"/>
      <c r="J14" s="278" t="s">
        <v>49</v>
      </c>
      <c r="K14" s="97"/>
    </row>
    <row r="15" spans="1:11" x14ac:dyDescent="0.2">
      <c r="A15" s="416"/>
      <c r="B15" s="547"/>
      <c r="C15" s="27" t="s">
        <v>263</v>
      </c>
      <c r="D15" s="28" t="s">
        <v>132</v>
      </c>
      <c r="E15" s="28" t="s">
        <v>264</v>
      </c>
      <c r="F15" s="28" t="s">
        <v>22</v>
      </c>
      <c r="G15" s="28" t="s">
        <v>259</v>
      </c>
      <c r="H15" s="29" t="s">
        <v>97</v>
      </c>
      <c r="I15" s="467"/>
      <c r="J15" s="279" t="s">
        <v>50</v>
      </c>
      <c r="K15" s="97"/>
    </row>
    <row r="16" spans="1:11" ht="16" thickBot="1" x14ac:dyDescent="0.25">
      <c r="A16" s="416"/>
      <c r="B16" s="547"/>
      <c r="C16" s="1">
        <v>18</v>
      </c>
      <c r="D16" s="30">
        <v>4.25</v>
      </c>
      <c r="E16">
        <v>0</v>
      </c>
      <c r="F16" s="30">
        <v>0</v>
      </c>
      <c r="G16">
        <v>1.75</v>
      </c>
      <c r="H16" s="31">
        <v>3.25</v>
      </c>
      <c r="I16" s="467"/>
      <c r="J16" s="278" t="s">
        <v>51</v>
      </c>
      <c r="K16" s="97"/>
    </row>
    <row r="17" spans="1:11" x14ac:dyDescent="0.2">
      <c r="A17" s="416"/>
      <c r="B17" s="547"/>
      <c r="C17" s="525" t="s">
        <v>265</v>
      </c>
      <c r="D17" s="320"/>
      <c r="E17" s="320"/>
      <c r="F17" s="320"/>
      <c r="G17" s="320"/>
      <c r="H17" s="321"/>
      <c r="I17" s="467"/>
      <c r="J17" s="278" t="s">
        <v>49</v>
      </c>
      <c r="K17" s="97"/>
    </row>
    <row r="18" spans="1:11" x14ac:dyDescent="0.2">
      <c r="A18" s="416"/>
      <c r="B18" s="547"/>
      <c r="C18" s="27" t="s">
        <v>263</v>
      </c>
      <c r="D18" s="28" t="s">
        <v>132</v>
      </c>
      <c r="E18" s="28" t="s">
        <v>264</v>
      </c>
      <c r="F18" s="28" t="s">
        <v>22</v>
      </c>
      <c r="G18" s="28" t="s">
        <v>259</v>
      </c>
      <c r="H18" s="29" t="s">
        <v>97</v>
      </c>
      <c r="I18" s="467"/>
      <c r="J18" s="278" t="s">
        <v>50</v>
      </c>
      <c r="K18" s="97"/>
    </row>
    <row r="19" spans="1:11" ht="16" thickBot="1" x14ac:dyDescent="0.25">
      <c r="A19" s="416"/>
      <c r="B19" s="547"/>
      <c r="C19" s="160">
        <v>114</v>
      </c>
      <c r="D19" s="30">
        <v>27.5</v>
      </c>
      <c r="E19">
        <v>0</v>
      </c>
      <c r="F19" s="30">
        <v>0</v>
      </c>
      <c r="G19">
        <v>7</v>
      </c>
      <c r="H19" s="31">
        <v>21.25</v>
      </c>
      <c r="I19" s="467"/>
      <c r="J19" s="280" t="s">
        <v>53</v>
      </c>
      <c r="K19" s="97"/>
    </row>
    <row r="20" spans="1:11" x14ac:dyDescent="0.2">
      <c r="A20" s="416"/>
      <c r="B20" s="547"/>
      <c r="C20" s="411" t="s">
        <v>1</v>
      </c>
      <c r="D20" s="409"/>
      <c r="E20" s="409"/>
      <c r="F20" s="409"/>
      <c r="G20" s="409"/>
      <c r="H20" s="410"/>
      <c r="I20" s="467"/>
      <c r="J20" s="277" t="s">
        <v>47</v>
      </c>
      <c r="K20" s="97"/>
    </row>
    <row r="21" spans="1:11" x14ac:dyDescent="0.2">
      <c r="A21" s="416"/>
      <c r="B21" s="547"/>
      <c r="C21" s="18" t="s">
        <v>266</v>
      </c>
      <c r="D21" s="19" t="s">
        <v>45</v>
      </c>
      <c r="E21" s="19" t="s">
        <v>15</v>
      </c>
      <c r="F21" s="19" t="s">
        <v>14</v>
      </c>
      <c r="G21" s="19" t="s">
        <v>41</v>
      </c>
      <c r="H21" s="20" t="s">
        <v>43</v>
      </c>
      <c r="I21" s="467"/>
      <c r="J21" s="278" t="s">
        <v>48</v>
      </c>
      <c r="K21" s="97"/>
    </row>
    <row r="22" spans="1:11" ht="16" thickBot="1" x14ac:dyDescent="0.25">
      <c r="A22" s="416"/>
      <c r="B22" s="548"/>
      <c r="C22" s="3">
        <v>0</v>
      </c>
      <c r="D22" s="32">
        <v>0</v>
      </c>
      <c r="E22" s="4">
        <v>0.75</v>
      </c>
      <c r="F22" s="32">
        <v>0.25</v>
      </c>
      <c r="G22" s="4">
        <v>0</v>
      </c>
      <c r="H22" s="33">
        <v>1</v>
      </c>
      <c r="I22" s="467"/>
      <c r="J22" s="278" t="s">
        <v>49</v>
      </c>
      <c r="K22" s="97"/>
    </row>
    <row r="23" spans="1:11" x14ac:dyDescent="0.2">
      <c r="A23" s="416"/>
      <c r="B23" s="411" t="s">
        <v>23</v>
      </c>
      <c r="C23" s="409"/>
      <c r="D23" s="409"/>
      <c r="E23" s="409"/>
      <c r="F23" s="409"/>
      <c r="G23" s="409"/>
      <c r="H23" s="410"/>
      <c r="I23" s="467"/>
      <c r="J23" s="279" t="s">
        <v>50</v>
      </c>
      <c r="K23" s="97"/>
    </row>
    <row r="24" spans="1:11" x14ac:dyDescent="0.2">
      <c r="A24" s="416"/>
      <c r="B24" s="18" t="s">
        <v>24</v>
      </c>
      <c r="C24" s="19" t="s">
        <v>25</v>
      </c>
      <c r="D24" s="19" t="s">
        <v>28</v>
      </c>
      <c r="E24" s="19" t="s">
        <v>26</v>
      </c>
      <c r="F24" s="19" t="s">
        <v>30</v>
      </c>
      <c r="G24" s="19" t="s">
        <v>27</v>
      </c>
      <c r="H24" s="20" t="s">
        <v>29</v>
      </c>
      <c r="I24" s="467"/>
      <c r="J24" s="278" t="s">
        <v>51</v>
      </c>
      <c r="K24" s="97"/>
    </row>
    <row r="25" spans="1:11" x14ac:dyDescent="0.2">
      <c r="A25" s="416"/>
      <c r="B25" s="21" t="s">
        <v>31</v>
      </c>
      <c r="C25">
        <v>15.5</v>
      </c>
      <c r="D25" s="34">
        <v>133.25</v>
      </c>
      <c r="E25">
        <v>14.25</v>
      </c>
      <c r="F25" s="34">
        <v>124.25</v>
      </c>
      <c r="G25">
        <v>0.25</v>
      </c>
      <c r="H25" s="2">
        <v>6</v>
      </c>
      <c r="I25" s="467"/>
      <c r="J25" s="278" t="s">
        <v>49</v>
      </c>
      <c r="K25" s="97"/>
    </row>
    <row r="26" spans="1:11" x14ac:dyDescent="0.2">
      <c r="A26" s="416"/>
      <c r="B26" s="22" t="s">
        <v>32</v>
      </c>
      <c r="C26" s="30">
        <v>0</v>
      </c>
      <c r="D26" s="35">
        <v>0</v>
      </c>
      <c r="E26" s="30">
        <v>0</v>
      </c>
      <c r="F26" s="35">
        <v>0</v>
      </c>
      <c r="G26" s="30">
        <v>0</v>
      </c>
      <c r="H26" s="31">
        <v>0</v>
      </c>
      <c r="I26" s="467"/>
      <c r="J26" s="278" t="s">
        <v>50</v>
      </c>
      <c r="K26" s="97"/>
    </row>
    <row r="27" spans="1:11" x14ac:dyDescent="0.2">
      <c r="A27" s="416"/>
      <c r="B27" s="22" t="s">
        <v>33</v>
      </c>
      <c r="C27">
        <v>2</v>
      </c>
      <c r="D27" s="36">
        <v>10.5</v>
      </c>
      <c r="E27">
        <v>1.5</v>
      </c>
      <c r="F27" s="36">
        <v>6</v>
      </c>
      <c r="G27">
        <v>0.5</v>
      </c>
      <c r="H27" s="2">
        <v>0</v>
      </c>
      <c r="I27" s="467"/>
      <c r="J27" s="280" t="s">
        <v>54</v>
      </c>
      <c r="K27" s="97"/>
    </row>
    <row r="28" spans="1:11" x14ac:dyDescent="0.2">
      <c r="A28" s="416"/>
      <c r="B28" s="22" t="s">
        <v>34</v>
      </c>
      <c r="C28" s="30">
        <v>0</v>
      </c>
      <c r="D28" s="35">
        <v>0</v>
      </c>
      <c r="E28" s="30">
        <v>0</v>
      </c>
      <c r="F28" s="35">
        <v>0</v>
      </c>
      <c r="G28" s="30">
        <v>0</v>
      </c>
      <c r="H28" s="31">
        <v>0</v>
      </c>
      <c r="I28" s="467"/>
      <c r="J28" s="277" t="s">
        <v>47</v>
      </c>
      <c r="K28" s="97"/>
    </row>
    <row r="29" spans="1:11" x14ac:dyDescent="0.2">
      <c r="A29" s="416"/>
      <c r="B29" s="22" t="s">
        <v>35</v>
      </c>
      <c r="C29">
        <v>0</v>
      </c>
      <c r="D29" s="36">
        <v>0</v>
      </c>
      <c r="E29">
        <v>0</v>
      </c>
      <c r="F29" s="36">
        <v>0</v>
      </c>
      <c r="G29">
        <v>0</v>
      </c>
      <c r="H29" s="2">
        <v>0</v>
      </c>
      <c r="I29" s="467"/>
      <c r="J29" s="278" t="s">
        <v>48</v>
      </c>
      <c r="K29" s="97"/>
    </row>
    <row r="30" spans="1:11" x14ac:dyDescent="0.2">
      <c r="A30" s="416"/>
      <c r="B30" s="22" t="s">
        <v>36</v>
      </c>
      <c r="C30" s="30">
        <v>0</v>
      </c>
      <c r="D30" s="35">
        <v>0</v>
      </c>
      <c r="E30" s="30">
        <v>0</v>
      </c>
      <c r="F30" s="35">
        <v>0</v>
      </c>
      <c r="G30" s="30">
        <v>0</v>
      </c>
      <c r="H30" s="31">
        <v>0</v>
      </c>
      <c r="I30" s="467"/>
      <c r="J30" s="278" t="s">
        <v>49</v>
      </c>
      <c r="K30" s="97"/>
    </row>
    <row r="31" spans="1:11" x14ac:dyDescent="0.2">
      <c r="A31" s="416"/>
      <c r="B31" s="22" t="s">
        <v>37</v>
      </c>
      <c r="C31">
        <v>0</v>
      </c>
      <c r="D31" s="36">
        <v>0</v>
      </c>
      <c r="E31">
        <v>0</v>
      </c>
      <c r="F31" s="36">
        <v>0</v>
      </c>
      <c r="G31">
        <v>0</v>
      </c>
      <c r="H31" s="2">
        <v>0</v>
      </c>
      <c r="I31" s="467"/>
      <c r="J31" s="279" t="s">
        <v>50</v>
      </c>
      <c r="K31" s="97"/>
    </row>
    <row r="32" spans="1:11" x14ac:dyDescent="0.2">
      <c r="A32" s="416"/>
      <c r="B32" s="22" t="s">
        <v>38</v>
      </c>
      <c r="C32" s="30">
        <v>0</v>
      </c>
      <c r="D32" s="35">
        <v>0</v>
      </c>
      <c r="E32" s="30">
        <v>0</v>
      </c>
      <c r="F32" s="35">
        <v>0</v>
      </c>
      <c r="G32" s="30">
        <v>0</v>
      </c>
      <c r="H32" s="31">
        <v>0</v>
      </c>
      <c r="I32" s="467"/>
      <c r="J32" s="278" t="s">
        <v>51</v>
      </c>
      <c r="K32" s="97"/>
    </row>
    <row r="33" spans="1:14" x14ac:dyDescent="0.2">
      <c r="A33" s="416"/>
      <c r="B33" s="22" t="s">
        <v>39</v>
      </c>
      <c r="C33">
        <v>0</v>
      </c>
      <c r="D33" s="36">
        <v>0</v>
      </c>
      <c r="E33">
        <v>0</v>
      </c>
      <c r="F33" s="36">
        <v>0</v>
      </c>
      <c r="G33">
        <v>0</v>
      </c>
      <c r="H33" s="2">
        <v>0</v>
      </c>
      <c r="I33" s="467"/>
      <c r="J33" s="278" t="s">
        <v>49</v>
      </c>
      <c r="K33" s="97"/>
    </row>
    <row r="34" spans="1:14" ht="16" thickBot="1" x14ac:dyDescent="0.25">
      <c r="A34" s="416"/>
      <c r="B34" s="23" t="s">
        <v>40</v>
      </c>
      <c r="C34" s="32">
        <v>0</v>
      </c>
      <c r="D34" s="37">
        <v>0</v>
      </c>
      <c r="E34" s="32">
        <v>0</v>
      </c>
      <c r="F34" s="37">
        <v>0</v>
      </c>
      <c r="G34" s="32">
        <v>0</v>
      </c>
      <c r="H34" s="33">
        <v>0</v>
      </c>
      <c r="I34" s="467"/>
      <c r="J34" s="278" t="s">
        <v>50</v>
      </c>
      <c r="K34" s="97"/>
    </row>
    <row r="35" spans="1:14" x14ac:dyDescent="0.2">
      <c r="A35" s="416"/>
      <c r="B35" s="182"/>
      <c r="C35" s="182"/>
      <c r="D35" s="182"/>
      <c r="E35" s="182"/>
      <c r="F35" s="182"/>
      <c r="G35" s="182"/>
      <c r="H35" s="45"/>
      <c r="I35" s="467"/>
      <c r="J35" s="280" t="s">
        <v>55</v>
      </c>
    </row>
    <row r="36" spans="1:14" x14ac:dyDescent="0.2">
      <c r="A36" s="416"/>
      <c r="B36" s="182"/>
      <c r="C36" s="182"/>
      <c r="D36" s="182"/>
      <c r="E36" s="182"/>
      <c r="F36" s="182"/>
      <c r="G36" s="182"/>
      <c r="H36" s="45"/>
      <c r="I36" s="467"/>
      <c r="J36" s="277" t="s">
        <v>47</v>
      </c>
    </row>
    <row r="37" spans="1:14" x14ac:dyDescent="0.2">
      <c r="A37" s="416"/>
      <c r="B37" s="182"/>
      <c r="C37" s="182"/>
      <c r="D37" s="182"/>
      <c r="E37" s="182"/>
      <c r="F37" s="182"/>
      <c r="G37" s="182"/>
      <c r="H37" s="45"/>
      <c r="I37" s="467"/>
      <c r="J37" s="278" t="s">
        <v>48</v>
      </c>
    </row>
    <row r="38" spans="1:14" ht="16" thickBot="1" x14ac:dyDescent="0.25">
      <c r="A38" s="416"/>
      <c r="B38" s="46"/>
      <c r="C38" s="46"/>
      <c r="D38" s="46"/>
      <c r="E38" s="46"/>
      <c r="F38" s="46"/>
      <c r="G38" s="46"/>
      <c r="H38" s="47"/>
      <c r="I38" s="467"/>
      <c r="J38" s="278" t="s">
        <v>49</v>
      </c>
    </row>
    <row r="39" spans="1:14" x14ac:dyDescent="0.2">
      <c r="A39" s="416"/>
      <c r="B39" s="546" t="s">
        <v>349</v>
      </c>
      <c r="C39" s="411" t="s">
        <v>376</v>
      </c>
      <c r="D39" s="409"/>
      <c r="E39" s="409"/>
      <c r="F39" s="409"/>
      <c r="G39" s="409"/>
      <c r="H39" s="410"/>
      <c r="I39" s="467"/>
      <c r="J39" s="279" t="s">
        <v>50</v>
      </c>
    </row>
    <row r="40" spans="1:14" x14ac:dyDescent="0.2">
      <c r="A40" s="416"/>
      <c r="B40" s="547"/>
      <c r="C40" s="532" t="s">
        <v>8</v>
      </c>
      <c r="D40" s="533"/>
      <c r="E40" s="533" t="s">
        <v>9</v>
      </c>
      <c r="F40" s="533"/>
      <c r="G40" s="533" t="s">
        <v>10</v>
      </c>
      <c r="H40" s="535"/>
      <c r="I40" s="467"/>
      <c r="J40" s="278" t="s">
        <v>51</v>
      </c>
    </row>
    <row r="41" spans="1:14" x14ac:dyDescent="0.2">
      <c r="A41" s="416"/>
      <c r="B41" s="547"/>
      <c r="C41" s="21" t="s">
        <v>5</v>
      </c>
      <c r="D41" s="165">
        <v>342</v>
      </c>
      <c r="E41" s="24" t="s">
        <v>263</v>
      </c>
      <c r="F41" s="165">
        <v>114</v>
      </c>
      <c r="G41" s="24" t="s">
        <v>5</v>
      </c>
      <c r="H41" s="164">
        <v>575</v>
      </c>
      <c r="I41" s="467"/>
      <c r="J41" s="278" t="s">
        <v>49</v>
      </c>
    </row>
    <row r="42" spans="1:14" ht="16" thickBot="1" x14ac:dyDescent="0.25">
      <c r="A42" s="416"/>
      <c r="B42" s="547"/>
      <c r="C42" s="22" t="s">
        <v>6</v>
      </c>
      <c r="D42" s="30">
        <v>322</v>
      </c>
      <c r="E42" s="25" t="s">
        <v>329</v>
      </c>
      <c r="F42" s="30">
        <v>92.65</v>
      </c>
      <c r="G42" s="25" t="s">
        <v>6</v>
      </c>
      <c r="H42" s="31">
        <v>521</v>
      </c>
      <c r="I42" s="468"/>
      <c r="J42" s="281" t="s">
        <v>50</v>
      </c>
    </row>
    <row r="43" spans="1:14" ht="16" thickBot="1" x14ac:dyDescent="0.25">
      <c r="A43" s="416"/>
      <c r="B43" s="547"/>
      <c r="C43" s="23" t="s">
        <v>7</v>
      </c>
      <c r="D43" s="4" t="s">
        <v>197</v>
      </c>
      <c r="E43" s="26" t="s">
        <v>7</v>
      </c>
      <c r="F43" s="4">
        <v>21.35</v>
      </c>
      <c r="G43" s="26" t="s">
        <v>7</v>
      </c>
      <c r="H43" s="5">
        <v>54</v>
      </c>
      <c r="I43" s="466" t="s">
        <v>60</v>
      </c>
      <c r="J43" s="276" t="s">
        <v>56</v>
      </c>
      <c r="K43" s="95"/>
      <c r="L43" s="95"/>
      <c r="M43" s="95"/>
      <c r="N43" s="95"/>
    </row>
    <row r="44" spans="1:14" x14ac:dyDescent="0.2">
      <c r="A44" s="416"/>
      <c r="B44" s="547"/>
      <c r="C44" s="411" t="s">
        <v>12</v>
      </c>
      <c r="D44" s="409"/>
      <c r="E44" s="409"/>
      <c r="F44" s="409"/>
      <c r="G44" s="525" t="s">
        <v>2</v>
      </c>
      <c r="H44" s="321"/>
      <c r="I44" s="467"/>
      <c r="J44" s="277" t="s">
        <v>47</v>
      </c>
      <c r="K44" s="94"/>
    </row>
    <row r="45" spans="1:14" x14ac:dyDescent="0.2">
      <c r="A45" s="416"/>
      <c r="B45" s="547"/>
      <c r="C45" s="532" t="s">
        <v>8</v>
      </c>
      <c r="D45" s="533"/>
      <c r="E45" s="533" t="s">
        <v>10</v>
      </c>
      <c r="F45" s="533"/>
      <c r="G45" s="544"/>
      <c r="H45" s="545"/>
      <c r="I45" s="467"/>
      <c r="J45" s="278" t="s">
        <v>48</v>
      </c>
      <c r="K45" s="96"/>
    </row>
    <row r="46" spans="1:14" x14ac:dyDescent="0.2">
      <c r="A46" s="416"/>
      <c r="B46" s="547"/>
      <c r="C46" s="22" t="s">
        <v>5</v>
      </c>
      <c r="D46">
        <v>70</v>
      </c>
      <c r="E46" s="25" t="s">
        <v>5</v>
      </c>
      <c r="F46">
        <v>60</v>
      </c>
      <c r="G46" s="22" t="s">
        <v>18</v>
      </c>
      <c r="H46" s="31">
        <v>18</v>
      </c>
      <c r="I46" s="467"/>
      <c r="J46" s="278" t="s">
        <v>49</v>
      </c>
      <c r="K46" s="96"/>
    </row>
    <row r="47" spans="1:14" x14ac:dyDescent="0.2">
      <c r="A47" s="416"/>
      <c r="B47" s="547"/>
      <c r="C47" s="22" t="s">
        <v>6</v>
      </c>
      <c r="D47" s="30">
        <v>63</v>
      </c>
      <c r="E47" s="25" t="s">
        <v>6</v>
      </c>
      <c r="F47" s="30">
        <v>54</v>
      </c>
      <c r="G47" s="22" t="s">
        <v>19</v>
      </c>
      <c r="H47" s="2">
        <v>26</v>
      </c>
      <c r="I47" s="467"/>
      <c r="J47" s="279" t="s">
        <v>50</v>
      </c>
      <c r="K47" s="96"/>
    </row>
    <row r="48" spans="1:14" ht="16" thickBot="1" x14ac:dyDescent="0.25">
      <c r="A48" s="416"/>
      <c r="B48" s="547"/>
      <c r="C48" s="23" t="s">
        <v>7</v>
      </c>
      <c r="D48" s="4">
        <v>3</v>
      </c>
      <c r="E48" s="26" t="s">
        <v>7</v>
      </c>
      <c r="F48" s="4">
        <v>54</v>
      </c>
      <c r="G48" s="23" t="s">
        <v>20</v>
      </c>
      <c r="H48" s="33">
        <v>7</v>
      </c>
      <c r="I48" s="467"/>
      <c r="J48" s="278" t="s">
        <v>51</v>
      </c>
      <c r="K48" s="96"/>
    </row>
    <row r="49" spans="1:11" ht="16" thickBot="1" x14ac:dyDescent="0.25">
      <c r="A49" s="416"/>
      <c r="B49" s="547"/>
      <c r="C49" s="523" t="s">
        <v>0</v>
      </c>
      <c r="D49" s="524"/>
      <c r="E49" s="133" t="s">
        <v>267</v>
      </c>
      <c r="F49" s="135">
        <v>60</v>
      </c>
      <c r="G49" s="133" t="s">
        <v>268</v>
      </c>
      <c r="H49" s="134">
        <v>22</v>
      </c>
      <c r="I49" s="467"/>
      <c r="J49" s="278" t="s">
        <v>49</v>
      </c>
      <c r="K49" s="96"/>
    </row>
    <row r="50" spans="1:11" x14ac:dyDescent="0.2">
      <c r="A50" s="416"/>
      <c r="B50" s="547"/>
      <c r="C50" s="525" t="s">
        <v>262</v>
      </c>
      <c r="D50" s="320"/>
      <c r="E50" s="320"/>
      <c r="F50" s="320"/>
      <c r="G50" s="320"/>
      <c r="H50" s="321"/>
      <c r="I50" s="467"/>
      <c r="J50" s="278" t="s">
        <v>50</v>
      </c>
      <c r="K50" s="96"/>
    </row>
    <row r="51" spans="1:11" x14ac:dyDescent="0.2">
      <c r="A51" s="416"/>
      <c r="B51" s="547"/>
      <c r="C51" s="27" t="s">
        <v>263</v>
      </c>
      <c r="D51" s="28" t="s">
        <v>132</v>
      </c>
      <c r="E51" s="28" t="s">
        <v>264</v>
      </c>
      <c r="F51" s="28" t="s">
        <v>22</v>
      </c>
      <c r="G51" s="28" t="s">
        <v>259</v>
      </c>
      <c r="H51" s="29" t="s">
        <v>97</v>
      </c>
      <c r="I51" s="467"/>
      <c r="J51" s="280" t="s">
        <v>57</v>
      </c>
      <c r="K51" s="96"/>
    </row>
    <row r="52" spans="1:11" ht="16" thickBot="1" x14ac:dyDescent="0.25">
      <c r="A52" s="416"/>
      <c r="B52" s="547"/>
      <c r="C52" s="1">
        <v>72</v>
      </c>
      <c r="D52" s="30">
        <v>17</v>
      </c>
      <c r="E52">
        <v>0</v>
      </c>
      <c r="F52" s="30">
        <v>0</v>
      </c>
      <c r="G52">
        <v>7</v>
      </c>
      <c r="H52" s="31">
        <v>13</v>
      </c>
      <c r="I52" s="467"/>
      <c r="J52" s="277" t="s">
        <v>47</v>
      </c>
      <c r="K52" s="96"/>
    </row>
    <row r="53" spans="1:11" x14ac:dyDescent="0.2">
      <c r="A53" s="416"/>
      <c r="B53" s="547"/>
      <c r="C53" s="525" t="s">
        <v>265</v>
      </c>
      <c r="D53" s="320"/>
      <c r="E53" s="320"/>
      <c r="F53" s="320"/>
      <c r="G53" s="320"/>
      <c r="H53" s="321"/>
      <c r="I53" s="467"/>
      <c r="J53" s="278" t="s">
        <v>48</v>
      </c>
      <c r="K53" s="96"/>
    </row>
    <row r="54" spans="1:11" x14ac:dyDescent="0.2">
      <c r="A54" s="416"/>
      <c r="B54" s="547"/>
      <c r="C54" s="27" t="s">
        <v>263</v>
      </c>
      <c r="D54" s="28" t="s">
        <v>132</v>
      </c>
      <c r="E54" s="28" t="s">
        <v>264</v>
      </c>
      <c r="F54" s="28" t="s">
        <v>22</v>
      </c>
      <c r="G54" s="28" t="s">
        <v>259</v>
      </c>
      <c r="H54" s="29" t="s">
        <v>97</v>
      </c>
      <c r="I54" s="467"/>
      <c r="J54" s="278" t="s">
        <v>49</v>
      </c>
      <c r="K54" s="96"/>
    </row>
    <row r="55" spans="1:11" ht="16" thickBot="1" x14ac:dyDescent="0.25">
      <c r="A55" s="416"/>
      <c r="B55" s="547"/>
      <c r="C55" s="160">
        <v>456</v>
      </c>
      <c r="D55" s="30">
        <v>110</v>
      </c>
      <c r="E55">
        <v>0</v>
      </c>
      <c r="F55" s="30">
        <v>0</v>
      </c>
      <c r="G55">
        <v>28</v>
      </c>
      <c r="H55" s="31">
        <v>85</v>
      </c>
      <c r="I55" s="467"/>
      <c r="J55" s="279" t="s">
        <v>50</v>
      </c>
      <c r="K55" s="96"/>
    </row>
    <row r="56" spans="1:11" x14ac:dyDescent="0.2">
      <c r="A56" s="416"/>
      <c r="B56" s="547"/>
      <c r="C56" s="411" t="s">
        <v>1</v>
      </c>
      <c r="D56" s="409"/>
      <c r="E56" s="409"/>
      <c r="F56" s="409"/>
      <c r="G56" s="409"/>
      <c r="H56" s="410"/>
      <c r="I56" s="467"/>
      <c r="J56" s="278" t="s">
        <v>51</v>
      </c>
      <c r="K56" s="96"/>
    </row>
    <row r="57" spans="1:11" x14ac:dyDescent="0.2">
      <c r="A57" s="416"/>
      <c r="B57" s="547"/>
      <c r="C57" s="18" t="s">
        <v>266</v>
      </c>
      <c r="D57" s="19" t="s">
        <v>45</v>
      </c>
      <c r="E57" s="19" t="s">
        <v>15</v>
      </c>
      <c r="F57" s="19" t="s">
        <v>14</v>
      </c>
      <c r="G57" s="19" t="s">
        <v>41</v>
      </c>
      <c r="H57" s="20" t="s">
        <v>43</v>
      </c>
      <c r="I57" s="467"/>
      <c r="J57" s="278" t="s">
        <v>49</v>
      </c>
      <c r="K57" s="96"/>
    </row>
    <row r="58" spans="1:11" ht="16" thickBot="1" x14ac:dyDescent="0.25">
      <c r="A58" s="416"/>
      <c r="B58" s="548"/>
      <c r="C58" s="3">
        <v>0</v>
      </c>
      <c r="D58" s="32">
        <v>0</v>
      </c>
      <c r="E58" s="4">
        <v>3</v>
      </c>
      <c r="F58" s="32">
        <v>1</v>
      </c>
      <c r="G58" s="4">
        <v>0</v>
      </c>
      <c r="H58" s="33">
        <v>4</v>
      </c>
      <c r="I58" s="467"/>
      <c r="J58" s="278" t="s">
        <v>50</v>
      </c>
      <c r="K58" s="96"/>
    </row>
    <row r="59" spans="1:11" x14ac:dyDescent="0.2">
      <c r="A59" s="416"/>
      <c r="B59" s="411" t="s">
        <v>23</v>
      </c>
      <c r="C59" s="409"/>
      <c r="D59" s="409"/>
      <c r="E59" s="409"/>
      <c r="F59" s="409"/>
      <c r="G59" s="409"/>
      <c r="H59" s="410"/>
      <c r="I59" s="467"/>
      <c r="J59" s="280" t="s">
        <v>54</v>
      </c>
      <c r="K59" s="96"/>
    </row>
    <row r="60" spans="1:11" x14ac:dyDescent="0.2">
      <c r="A60" s="416"/>
      <c r="B60" s="18" t="s">
        <v>24</v>
      </c>
      <c r="C60" s="19" t="s">
        <v>25</v>
      </c>
      <c r="D60" s="19" t="s">
        <v>28</v>
      </c>
      <c r="E60" s="19" t="s">
        <v>26</v>
      </c>
      <c r="F60" s="19" t="s">
        <v>30</v>
      </c>
      <c r="G60" s="19" t="s">
        <v>27</v>
      </c>
      <c r="H60" s="20" t="s">
        <v>29</v>
      </c>
      <c r="I60" s="467"/>
      <c r="J60" s="277" t="s">
        <v>47</v>
      </c>
      <c r="K60" s="96"/>
    </row>
    <row r="61" spans="1:11" x14ac:dyDescent="0.2">
      <c r="A61" s="416"/>
      <c r="B61" s="21" t="s">
        <v>31</v>
      </c>
      <c r="C61">
        <v>15.5</v>
      </c>
      <c r="D61" s="34">
        <v>133.25</v>
      </c>
      <c r="E61">
        <v>14.25</v>
      </c>
      <c r="F61" s="34">
        <v>124.25</v>
      </c>
      <c r="G61">
        <v>0.25</v>
      </c>
      <c r="H61" s="2">
        <v>6</v>
      </c>
      <c r="I61" s="467"/>
      <c r="J61" s="278" t="s">
        <v>48</v>
      </c>
      <c r="K61" s="96"/>
    </row>
    <row r="62" spans="1:11" x14ac:dyDescent="0.2">
      <c r="A62" s="416"/>
      <c r="B62" s="22" t="s">
        <v>32</v>
      </c>
      <c r="C62" s="30">
        <v>0</v>
      </c>
      <c r="D62" s="35">
        <v>0</v>
      </c>
      <c r="E62" s="30">
        <v>0</v>
      </c>
      <c r="F62" s="35">
        <v>0</v>
      </c>
      <c r="G62" s="30">
        <v>0</v>
      </c>
      <c r="H62" s="31">
        <v>0</v>
      </c>
      <c r="I62" s="467"/>
      <c r="J62" s="278" t="s">
        <v>49</v>
      </c>
      <c r="K62" s="96"/>
    </row>
    <row r="63" spans="1:11" x14ac:dyDescent="0.2">
      <c r="A63" s="416"/>
      <c r="B63" s="22" t="s">
        <v>33</v>
      </c>
      <c r="C63">
        <v>2</v>
      </c>
      <c r="D63" s="36">
        <v>10.5</v>
      </c>
      <c r="E63">
        <v>1.5</v>
      </c>
      <c r="F63" s="36">
        <v>6</v>
      </c>
      <c r="G63">
        <v>0.5</v>
      </c>
      <c r="H63" s="2">
        <v>7.5</v>
      </c>
      <c r="I63" s="467"/>
      <c r="J63" s="279" t="s">
        <v>50</v>
      </c>
      <c r="K63" s="96"/>
    </row>
    <row r="64" spans="1:11" x14ac:dyDescent="0.2">
      <c r="A64" s="416"/>
      <c r="B64" s="22" t="s">
        <v>34</v>
      </c>
      <c r="C64" s="30">
        <v>0</v>
      </c>
      <c r="D64" s="35">
        <v>0</v>
      </c>
      <c r="E64" s="30">
        <v>0</v>
      </c>
      <c r="F64" s="35">
        <v>0</v>
      </c>
      <c r="G64" s="30">
        <v>0</v>
      </c>
      <c r="H64" s="31">
        <v>0</v>
      </c>
      <c r="I64" s="467"/>
      <c r="J64" s="278" t="s">
        <v>51</v>
      </c>
      <c r="K64" s="96"/>
    </row>
    <row r="65" spans="1:11" x14ac:dyDescent="0.2">
      <c r="A65" s="416"/>
      <c r="B65" s="22" t="s">
        <v>35</v>
      </c>
      <c r="C65">
        <v>0</v>
      </c>
      <c r="D65" s="36">
        <v>0</v>
      </c>
      <c r="E65">
        <v>0</v>
      </c>
      <c r="F65" s="36">
        <v>0</v>
      </c>
      <c r="G65">
        <v>0</v>
      </c>
      <c r="H65" s="2">
        <v>0</v>
      </c>
      <c r="I65" s="467"/>
      <c r="J65" s="278" t="s">
        <v>49</v>
      </c>
      <c r="K65" s="96"/>
    </row>
    <row r="66" spans="1:11" x14ac:dyDescent="0.2">
      <c r="A66" s="416"/>
      <c r="B66" s="22" t="s">
        <v>36</v>
      </c>
      <c r="C66" s="30">
        <v>0</v>
      </c>
      <c r="D66" s="35">
        <v>0</v>
      </c>
      <c r="E66" s="30">
        <v>0</v>
      </c>
      <c r="F66" s="35">
        <v>0</v>
      </c>
      <c r="G66" s="30">
        <v>0</v>
      </c>
      <c r="H66" s="31">
        <v>0</v>
      </c>
      <c r="I66" s="467"/>
      <c r="J66" s="278" t="s">
        <v>50</v>
      </c>
      <c r="K66" s="96"/>
    </row>
    <row r="67" spans="1:11" x14ac:dyDescent="0.2">
      <c r="A67" s="416"/>
      <c r="B67" s="22" t="s">
        <v>37</v>
      </c>
      <c r="C67">
        <v>0</v>
      </c>
      <c r="D67" s="36">
        <v>0</v>
      </c>
      <c r="E67">
        <v>0</v>
      </c>
      <c r="F67" s="36">
        <v>0</v>
      </c>
      <c r="G67">
        <v>0</v>
      </c>
      <c r="H67" s="2">
        <v>0</v>
      </c>
      <c r="I67" s="467"/>
      <c r="J67" s="280" t="s">
        <v>55</v>
      </c>
      <c r="K67" s="96"/>
    </row>
    <row r="68" spans="1:11" x14ac:dyDescent="0.2">
      <c r="A68" s="416"/>
      <c r="B68" s="22" t="s">
        <v>38</v>
      </c>
      <c r="C68" s="30">
        <v>0</v>
      </c>
      <c r="D68" s="35">
        <v>0</v>
      </c>
      <c r="E68" s="30">
        <v>0</v>
      </c>
      <c r="F68" s="35">
        <v>0</v>
      </c>
      <c r="G68" s="30">
        <v>0</v>
      </c>
      <c r="H68" s="31">
        <v>0</v>
      </c>
      <c r="I68" s="467"/>
      <c r="J68" s="277" t="s">
        <v>47</v>
      </c>
      <c r="K68" s="96"/>
    </row>
    <row r="69" spans="1:11" x14ac:dyDescent="0.2">
      <c r="A69" s="48"/>
      <c r="B69" s="22" t="s">
        <v>39</v>
      </c>
      <c r="C69">
        <v>0</v>
      </c>
      <c r="D69" s="36">
        <v>0</v>
      </c>
      <c r="E69">
        <v>0</v>
      </c>
      <c r="F69" s="36">
        <v>0</v>
      </c>
      <c r="G69">
        <v>0</v>
      </c>
      <c r="H69" s="2">
        <v>0</v>
      </c>
      <c r="I69" s="467"/>
      <c r="J69" s="278" t="s">
        <v>48</v>
      </c>
      <c r="K69" s="96"/>
    </row>
    <row r="70" spans="1:11" ht="16" thickBot="1" x14ac:dyDescent="0.25">
      <c r="A70" s="48"/>
      <c r="B70" s="23" t="s">
        <v>40</v>
      </c>
      <c r="C70" s="32">
        <v>0</v>
      </c>
      <c r="D70" s="37">
        <v>0</v>
      </c>
      <c r="E70" s="32">
        <v>0</v>
      </c>
      <c r="F70" s="37">
        <v>0</v>
      </c>
      <c r="G70" s="32">
        <v>0</v>
      </c>
      <c r="H70" s="33">
        <v>0</v>
      </c>
      <c r="I70" s="467"/>
      <c r="J70" s="278" t="s">
        <v>49</v>
      </c>
      <c r="K70" s="96"/>
    </row>
    <row r="71" spans="1:11" x14ac:dyDescent="0.2">
      <c r="A71" s="48"/>
      <c r="B71" s="49"/>
      <c r="C71" s="49"/>
      <c r="D71" s="49"/>
      <c r="E71" s="49"/>
      <c r="F71" s="49"/>
      <c r="G71" s="49"/>
      <c r="H71" s="50"/>
      <c r="I71" s="467"/>
      <c r="J71" s="279" t="s">
        <v>50</v>
      </c>
      <c r="K71" s="96"/>
    </row>
    <row r="72" spans="1:11" x14ac:dyDescent="0.2">
      <c r="A72" s="48"/>
      <c r="B72" s="49"/>
      <c r="C72" s="49"/>
      <c r="D72" s="49"/>
      <c r="E72" s="49"/>
      <c r="F72" s="49"/>
      <c r="G72" s="49"/>
      <c r="H72" s="50"/>
      <c r="I72" s="467"/>
      <c r="J72" s="278" t="s">
        <v>51</v>
      </c>
      <c r="K72" s="96"/>
    </row>
    <row r="73" spans="1:11" x14ac:dyDescent="0.2">
      <c r="A73" s="48"/>
      <c r="B73" s="49"/>
      <c r="C73" s="49"/>
      <c r="D73" s="49"/>
      <c r="E73" s="49"/>
      <c r="F73" s="49"/>
      <c r="G73" s="49"/>
      <c r="H73" s="50"/>
      <c r="I73" s="467"/>
      <c r="J73" s="278" t="s">
        <v>49</v>
      </c>
      <c r="K73" s="96"/>
    </row>
    <row r="74" spans="1:11" ht="16" thickBot="1" x14ac:dyDescent="0.25">
      <c r="A74" s="51"/>
      <c r="B74" s="52"/>
      <c r="C74" s="52"/>
      <c r="D74" s="52"/>
      <c r="E74" s="52"/>
      <c r="F74" s="52"/>
      <c r="G74" s="52"/>
      <c r="H74" s="53"/>
      <c r="I74" s="468"/>
      <c r="J74" s="281" t="s">
        <v>50</v>
      </c>
      <c r="K74" s="96"/>
    </row>
  </sheetData>
  <mergeCells count="33">
    <mergeCell ref="I43:I74"/>
    <mergeCell ref="C44:F44"/>
    <mergeCell ref="C50:H50"/>
    <mergeCell ref="C53:H53"/>
    <mergeCell ref="B59:H59"/>
    <mergeCell ref="C14:H14"/>
    <mergeCell ref="C17:H17"/>
    <mergeCell ref="C20:H20"/>
    <mergeCell ref="B23:H23"/>
    <mergeCell ref="C49:D49"/>
    <mergeCell ref="B39:B58"/>
    <mergeCell ref="C39:H39"/>
    <mergeCell ref="C40:D40"/>
    <mergeCell ref="G40:H40"/>
    <mergeCell ref="E45:F45"/>
    <mergeCell ref="E40:F40"/>
    <mergeCell ref="G44:H45"/>
    <mergeCell ref="G1:I1"/>
    <mergeCell ref="A2:J2"/>
    <mergeCell ref="A3:A68"/>
    <mergeCell ref="B3:B22"/>
    <mergeCell ref="C3:H3"/>
    <mergeCell ref="I3:I42"/>
    <mergeCell ref="C4:D4"/>
    <mergeCell ref="E4:F4"/>
    <mergeCell ref="G4:H4"/>
    <mergeCell ref="C8:F8"/>
    <mergeCell ref="G8:H9"/>
    <mergeCell ref="C9:D9"/>
    <mergeCell ref="C56:H56"/>
    <mergeCell ref="E9:F9"/>
    <mergeCell ref="C13:D13"/>
    <mergeCell ref="C45:D45"/>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EBECF-6B12-4ACF-B466-D6A34C434689}">
  <sheetPr codeName="Sheet43"/>
  <dimension ref="A1:D2"/>
  <sheetViews>
    <sheetView workbookViewId="0">
      <selection activeCell="E16" sqref="E16"/>
    </sheetView>
  </sheetViews>
  <sheetFormatPr baseColWidth="10" defaultColWidth="8.83203125" defaultRowHeight="15" x14ac:dyDescent="0.2"/>
  <sheetData>
    <row r="1" spans="1:4" x14ac:dyDescent="0.2">
      <c r="A1">
        <v>0</v>
      </c>
      <c r="B1">
        <v>0</v>
      </c>
      <c r="C1">
        <v>2</v>
      </c>
      <c r="D1">
        <v>2</v>
      </c>
    </row>
    <row r="2" spans="1:4" x14ac:dyDescent="0.2">
      <c r="A2" t="s">
        <v>437</v>
      </c>
      <c r="C2" t="s">
        <v>435</v>
      </c>
      <c r="D2" t="s">
        <v>436</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BD394-2F7E-4D8A-91C5-F70321C71C4B}">
  <sheetPr codeName="Sheet42">
    <tabColor theme="9"/>
  </sheetPr>
  <dimension ref="A1:X74"/>
  <sheetViews>
    <sheetView workbookViewId="0"/>
  </sheetViews>
  <sheetFormatPr baseColWidth="10" defaultColWidth="8.83203125" defaultRowHeight="15" x14ac:dyDescent="0.2"/>
  <sheetData>
    <row r="1" spans="1:21" ht="16" thickBot="1" x14ac:dyDescent="0.25">
      <c r="A1" s="180"/>
      <c r="B1" s="142"/>
      <c r="C1" s="142"/>
      <c r="D1" s="142"/>
      <c r="E1" s="142"/>
      <c r="F1" s="142"/>
      <c r="G1" s="513" t="s">
        <v>375</v>
      </c>
      <c r="H1" s="513"/>
      <c r="I1" s="513"/>
      <c r="J1" s="145">
        <v>8</v>
      </c>
      <c r="K1" s="144" t="s">
        <v>390</v>
      </c>
      <c r="L1" s="144">
        <v>2023</v>
      </c>
      <c r="M1" s="144"/>
      <c r="N1" s="144"/>
      <c r="O1" s="144"/>
      <c r="P1" s="144"/>
      <c r="Q1" s="144"/>
      <c r="R1" s="142"/>
      <c r="S1" s="142"/>
      <c r="T1" s="143"/>
    </row>
    <row r="2" spans="1:21" ht="16" thickBot="1" x14ac:dyDescent="0.25">
      <c r="A2" s="414" t="s">
        <v>4</v>
      </c>
      <c r="B2" s="415"/>
      <c r="C2" s="415"/>
      <c r="D2" s="415"/>
      <c r="E2" s="415"/>
      <c r="F2" s="415"/>
      <c r="G2" s="415"/>
      <c r="H2" s="415"/>
      <c r="I2" s="415"/>
      <c r="J2" s="415"/>
      <c r="K2" s="415"/>
      <c r="L2" s="415"/>
      <c r="M2" s="415"/>
      <c r="N2" s="415"/>
      <c r="O2" s="415"/>
      <c r="P2" s="415"/>
      <c r="Q2" s="415"/>
      <c r="R2" s="415"/>
      <c r="S2" s="415"/>
      <c r="T2" s="462"/>
    </row>
    <row r="3" spans="1:21" x14ac:dyDescent="0.2">
      <c r="A3" s="416"/>
      <c r="B3" s="546" t="s">
        <v>58</v>
      </c>
      <c r="C3" s="411" t="s">
        <v>376</v>
      </c>
      <c r="D3" s="409"/>
      <c r="E3" s="409"/>
      <c r="F3" s="409"/>
      <c r="G3" s="409"/>
      <c r="H3" s="410"/>
      <c r="I3" s="466" t="s">
        <v>59</v>
      </c>
      <c r="J3" s="411" t="s">
        <v>46</v>
      </c>
      <c r="K3" s="409"/>
      <c r="L3" s="409"/>
      <c r="M3" s="409"/>
      <c r="N3" s="409"/>
      <c r="O3" s="409"/>
      <c r="P3" s="409"/>
      <c r="Q3" s="409"/>
      <c r="R3" s="409"/>
      <c r="S3" s="409"/>
      <c r="T3" s="410"/>
      <c r="U3" s="97"/>
    </row>
    <row r="4" spans="1:21" x14ac:dyDescent="0.2">
      <c r="A4" s="416"/>
      <c r="B4" s="547"/>
      <c r="C4" s="532" t="s">
        <v>8</v>
      </c>
      <c r="D4" s="533"/>
      <c r="E4" s="533" t="s">
        <v>9</v>
      </c>
      <c r="F4" s="533"/>
      <c r="G4" s="533" t="s">
        <v>10</v>
      </c>
      <c r="H4" s="535"/>
      <c r="I4" s="467"/>
      <c r="J4" s="21" t="s">
        <v>47</v>
      </c>
      <c r="T4" s="2"/>
      <c r="U4" s="97"/>
    </row>
    <row r="5" spans="1:21" x14ac:dyDescent="0.2">
      <c r="A5" s="416"/>
      <c r="B5" s="547"/>
      <c r="C5" s="21" t="s">
        <v>5</v>
      </c>
      <c r="D5" s="165">
        <v>156.5</v>
      </c>
      <c r="E5" s="24" t="s">
        <v>263</v>
      </c>
      <c r="F5" s="165">
        <v>177</v>
      </c>
      <c r="G5" s="24" t="s">
        <v>5</v>
      </c>
      <c r="H5" s="164">
        <v>192</v>
      </c>
      <c r="I5" s="467"/>
      <c r="J5" s="22" t="s">
        <v>48</v>
      </c>
      <c r="K5" s="30"/>
      <c r="L5" s="30"/>
      <c r="M5" s="30"/>
      <c r="N5" s="30"/>
      <c r="O5" s="30"/>
      <c r="P5" s="30"/>
      <c r="Q5" s="30"/>
      <c r="R5" s="30"/>
      <c r="S5" s="30"/>
      <c r="T5" s="31"/>
      <c r="U5" s="97"/>
    </row>
    <row r="6" spans="1:21" x14ac:dyDescent="0.2">
      <c r="A6" s="416"/>
      <c r="B6" s="547"/>
      <c r="C6" s="22" t="s">
        <v>6</v>
      </c>
      <c r="D6" s="30">
        <v>133</v>
      </c>
      <c r="E6" s="25" t="s">
        <v>329</v>
      </c>
      <c r="F6" s="30">
        <v>143.15</v>
      </c>
      <c r="G6" s="25" t="s">
        <v>6</v>
      </c>
      <c r="H6" s="31">
        <v>145.25</v>
      </c>
      <c r="I6" s="467"/>
      <c r="J6" s="22" t="s">
        <v>49</v>
      </c>
      <c r="T6" s="2"/>
      <c r="U6" s="97"/>
    </row>
    <row r="7" spans="1:21" ht="16" thickBot="1" x14ac:dyDescent="0.25">
      <c r="A7" s="416"/>
      <c r="B7" s="547"/>
      <c r="C7" s="23" t="s">
        <v>7</v>
      </c>
      <c r="D7" s="4" t="s">
        <v>197</v>
      </c>
      <c r="E7" s="26" t="s">
        <v>7</v>
      </c>
      <c r="F7" s="4">
        <v>33.849999999999994</v>
      </c>
      <c r="G7" s="26" t="s">
        <v>7</v>
      </c>
      <c r="H7" s="5">
        <v>12.5</v>
      </c>
      <c r="I7" s="467"/>
      <c r="J7" s="101" t="s">
        <v>50</v>
      </c>
      <c r="K7" s="99"/>
      <c r="L7" s="99"/>
      <c r="M7" s="99"/>
      <c r="N7" s="99"/>
      <c r="O7" s="99"/>
      <c r="P7" s="99"/>
      <c r="Q7" s="99"/>
      <c r="R7" s="99"/>
      <c r="S7" s="99"/>
      <c r="T7" s="100"/>
      <c r="U7" s="97"/>
    </row>
    <row r="8" spans="1:21" x14ac:dyDescent="0.2">
      <c r="A8" s="416"/>
      <c r="B8" s="547"/>
      <c r="C8" s="411" t="s">
        <v>12</v>
      </c>
      <c r="D8" s="409"/>
      <c r="E8" s="409"/>
      <c r="F8" s="409"/>
      <c r="G8" s="525" t="s">
        <v>2</v>
      </c>
      <c r="H8" s="321"/>
      <c r="I8" s="467"/>
      <c r="J8" s="22" t="s">
        <v>51</v>
      </c>
      <c r="T8" s="2"/>
      <c r="U8" s="97"/>
    </row>
    <row r="9" spans="1:21" x14ac:dyDescent="0.2">
      <c r="A9" s="416"/>
      <c r="B9" s="547"/>
      <c r="C9" s="532" t="s">
        <v>8</v>
      </c>
      <c r="D9" s="533"/>
      <c r="E9" s="533" t="s">
        <v>10</v>
      </c>
      <c r="F9" s="533"/>
      <c r="G9" s="544"/>
      <c r="H9" s="545"/>
      <c r="I9" s="467"/>
      <c r="J9" s="22" t="s">
        <v>49</v>
      </c>
      <c r="K9" s="30"/>
      <c r="L9" s="30"/>
      <c r="M9" s="30"/>
      <c r="N9" s="30"/>
      <c r="O9" s="30"/>
      <c r="P9" s="30"/>
      <c r="Q9" s="30"/>
      <c r="R9" s="30"/>
      <c r="S9" s="30"/>
      <c r="T9" s="31"/>
      <c r="U9" s="97"/>
    </row>
    <row r="10" spans="1:21" x14ac:dyDescent="0.2">
      <c r="A10" s="416"/>
      <c r="B10" s="547"/>
      <c r="C10" s="22" t="s">
        <v>5</v>
      </c>
      <c r="D10">
        <v>34</v>
      </c>
      <c r="E10" s="25" t="s">
        <v>5</v>
      </c>
      <c r="F10">
        <v>4.75</v>
      </c>
      <c r="G10" s="22" t="s">
        <v>18</v>
      </c>
      <c r="H10" s="31">
        <v>4.625</v>
      </c>
      <c r="I10" s="467"/>
      <c r="J10" s="22" t="s">
        <v>50</v>
      </c>
      <c r="T10" s="2"/>
      <c r="U10" s="97"/>
    </row>
    <row r="11" spans="1:21" x14ac:dyDescent="0.2">
      <c r="A11" s="416"/>
      <c r="B11" s="547"/>
      <c r="C11" s="22" t="s">
        <v>6</v>
      </c>
      <c r="D11" s="30">
        <v>24.5</v>
      </c>
      <c r="E11" s="25" t="s">
        <v>6</v>
      </c>
      <c r="F11" s="30">
        <v>0</v>
      </c>
      <c r="G11" s="22" t="s">
        <v>19</v>
      </c>
      <c r="H11" s="2">
        <v>8.25</v>
      </c>
      <c r="I11" s="467"/>
      <c r="J11" s="470" t="s">
        <v>52</v>
      </c>
      <c r="K11" s="471"/>
      <c r="L11" s="471"/>
      <c r="M11" s="471"/>
      <c r="N11" s="471"/>
      <c r="O11" s="471"/>
      <c r="P11" s="471"/>
      <c r="Q11" s="471"/>
      <c r="R11" s="471"/>
      <c r="S11" s="471"/>
      <c r="T11" s="472"/>
      <c r="U11" s="97"/>
    </row>
    <row r="12" spans="1:21" ht="16" thickBot="1" x14ac:dyDescent="0.25">
      <c r="A12" s="416"/>
      <c r="B12" s="547"/>
      <c r="C12" s="23" t="s">
        <v>7</v>
      </c>
      <c r="D12" s="4">
        <v>2</v>
      </c>
      <c r="E12" s="26" t="s">
        <v>7</v>
      </c>
      <c r="F12" s="4">
        <v>0</v>
      </c>
      <c r="G12" s="23" t="s">
        <v>20</v>
      </c>
      <c r="H12" s="33">
        <v>1.5</v>
      </c>
      <c r="I12" s="467"/>
      <c r="J12" s="21" t="s">
        <v>47</v>
      </c>
      <c r="T12" s="2"/>
      <c r="U12" s="97"/>
    </row>
    <row r="13" spans="1:21" ht="16" thickBot="1" x14ac:dyDescent="0.25">
      <c r="A13" s="416"/>
      <c r="B13" s="547"/>
      <c r="C13" s="523" t="s">
        <v>0</v>
      </c>
      <c r="D13" s="524"/>
      <c r="E13" s="133" t="s">
        <v>267</v>
      </c>
      <c r="F13" s="135">
        <v>15</v>
      </c>
      <c r="G13" s="133" t="s">
        <v>268</v>
      </c>
      <c r="H13" s="134">
        <v>10</v>
      </c>
      <c r="I13" s="467"/>
      <c r="J13" s="22" t="s">
        <v>48</v>
      </c>
      <c r="K13" s="30"/>
      <c r="L13" s="30"/>
      <c r="M13" s="30"/>
      <c r="N13" s="30"/>
      <c r="O13" s="30"/>
      <c r="P13" s="30"/>
      <c r="Q13" s="30"/>
      <c r="R13" s="30"/>
      <c r="S13" s="30"/>
      <c r="T13" s="31"/>
      <c r="U13" s="97"/>
    </row>
    <row r="14" spans="1:21" x14ac:dyDescent="0.2">
      <c r="A14" s="416"/>
      <c r="B14" s="547"/>
      <c r="C14" s="525" t="s">
        <v>262</v>
      </c>
      <c r="D14" s="320"/>
      <c r="E14" s="320"/>
      <c r="F14" s="320"/>
      <c r="G14" s="320"/>
      <c r="H14" s="321"/>
      <c r="I14" s="467"/>
      <c r="J14" s="22" t="s">
        <v>49</v>
      </c>
      <c r="T14" s="2"/>
      <c r="U14" s="97"/>
    </row>
    <row r="15" spans="1:21" x14ac:dyDescent="0.2">
      <c r="A15" s="416"/>
      <c r="B15" s="547"/>
      <c r="C15" s="27" t="s">
        <v>263</v>
      </c>
      <c r="D15" s="28" t="s">
        <v>132</v>
      </c>
      <c r="E15" s="28" t="s">
        <v>264</v>
      </c>
      <c r="F15" s="28" t="s">
        <v>22</v>
      </c>
      <c r="G15" s="28" t="s">
        <v>259</v>
      </c>
      <c r="H15" s="29" t="s">
        <v>97</v>
      </c>
      <c r="I15" s="467"/>
      <c r="J15" s="101" t="s">
        <v>50</v>
      </c>
      <c r="K15" s="99"/>
      <c r="L15" s="99"/>
      <c r="M15" s="99"/>
      <c r="N15" s="99"/>
      <c r="O15" s="99"/>
      <c r="P15" s="99"/>
      <c r="Q15" s="99"/>
      <c r="R15" s="99"/>
      <c r="S15" s="99"/>
      <c r="T15" s="100"/>
      <c r="U15" s="97"/>
    </row>
    <row r="16" spans="1:21" ht="16" thickBot="1" x14ac:dyDescent="0.25">
      <c r="A16" s="416"/>
      <c r="B16" s="547"/>
      <c r="C16" s="1">
        <v>21.75</v>
      </c>
      <c r="D16" s="30">
        <v>3.25</v>
      </c>
      <c r="E16">
        <v>4</v>
      </c>
      <c r="F16" s="30">
        <v>1</v>
      </c>
      <c r="G16">
        <v>2.25</v>
      </c>
      <c r="H16" s="31">
        <v>0.5</v>
      </c>
      <c r="I16" s="467"/>
      <c r="J16" s="22" t="s">
        <v>51</v>
      </c>
      <c r="T16" s="2"/>
      <c r="U16" s="97"/>
    </row>
    <row r="17" spans="1:21" x14ac:dyDescent="0.2">
      <c r="A17" s="416"/>
      <c r="B17" s="547"/>
      <c r="C17" s="525" t="s">
        <v>265</v>
      </c>
      <c r="D17" s="320"/>
      <c r="E17" s="320"/>
      <c r="F17" s="320"/>
      <c r="G17" s="320"/>
      <c r="H17" s="321"/>
      <c r="I17" s="467"/>
      <c r="J17" s="22" t="s">
        <v>49</v>
      </c>
      <c r="K17" s="30"/>
      <c r="L17" s="30"/>
      <c r="M17" s="30"/>
      <c r="N17" s="30"/>
      <c r="O17" s="30"/>
      <c r="P17" s="30"/>
      <c r="Q17" s="30"/>
      <c r="R17" s="30"/>
      <c r="S17" s="30"/>
      <c r="T17" s="31"/>
      <c r="U17" s="97"/>
    </row>
    <row r="18" spans="1:21" x14ac:dyDescent="0.2">
      <c r="A18" s="416"/>
      <c r="B18" s="547"/>
      <c r="C18" s="27" t="s">
        <v>263</v>
      </c>
      <c r="D18" s="28" t="s">
        <v>132</v>
      </c>
      <c r="E18" s="28" t="s">
        <v>264</v>
      </c>
      <c r="F18" s="28" t="s">
        <v>22</v>
      </c>
      <c r="G18" s="28" t="s">
        <v>259</v>
      </c>
      <c r="H18" s="29" t="s">
        <v>97</v>
      </c>
      <c r="I18" s="467"/>
      <c r="J18" s="22" t="s">
        <v>50</v>
      </c>
      <c r="T18" s="2"/>
      <c r="U18" s="97"/>
    </row>
    <row r="19" spans="1:21" ht="16" thickBot="1" x14ac:dyDescent="0.25">
      <c r="A19" s="416"/>
      <c r="B19" s="547"/>
      <c r="C19" s="160">
        <v>177</v>
      </c>
      <c r="D19" s="30">
        <v>26.75</v>
      </c>
      <c r="E19">
        <v>32</v>
      </c>
      <c r="F19" s="30">
        <v>8</v>
      </c>
      <c r="G19">
        <v>16.75</v>
      </c>
      <c r="H19" s="31">
        <v>3</v>
      </c>
      <c r="I19" s="467"/>
      <c r="J19" s="470" t="s">
        <v>53</v>
      </c>
      <c r="K19" s="471"/>
      <c r="L19" s="471"/>
      <c r="M19" s="471"/>
      <c r="N19" s="471"/>
      <c r="O19" s="471"/>
      <c r="P19" s="471"/>
      <c r="Q19" s="471"/>
      <c r="R19" s="471"/>
      <c r="S19" s="471"/>
      <c r="T19" s="472"/>
      <c r="U19" s="97"/>
    </row>
    <row r="20" spans="1:21" x14ac:dyDescent="0.2">
      <c r="A20" s="416"/>
      <c r="B20" s="547"/>
      <c r="C20" s="411" t="s">
        <v>1</v>
      </c>
      <c r="D20" s="409"/>
      <c r="E20" s="409"/>
      <c r="F20" s="409"/>
      <c r="G20" s="409"/>
      <c r="H20" s="410"/>
      <c r="I20" s="467"/>
      <c r="J20" s="21" t="s">
        <v>47</v>
      </c>
      <c r="T20" s="2"/>
      <c r="U20" s="97"/>
    </row>
    <row r="21" spans="1:21" x14ac:dyDescent="0.2">
      <c r="A21" s="416"/>
      <c r="B21" s="547"/>
      <c r="C21" s="18" t="s">
        <v>266</v>
      </c>
      <c r="D21" s="19" t="s">
        <v>45</v>
      </c>
      <c r="E21" s="19" t="s">
        <v>15</v>
      </c>
      <c r="F21" s="19" t="s">
        <v>14</v>
      </c>
      <c r="G21" s="19" t="s">
        <v>41</v>
      </c>
      <c r="H21" s="20" t="s">
        <v>43</v>
      </c>
      <c r="I21" s="467"/>
      <c r="J21" s="22" t="s">
        <v>48</v>
      </c>
      <c r="K21" s="30"/>
      <c r="L21" s="30"/>
      <c r="M21" s="30"/>
      <c r="N21" s="30"/>
      <c r="O21" s="30"/>
      <c r="P21" s="30"/>
      <c r="Q21" s="30"/>
      <c r="R21" s="30"/>
      <c r="S21" s="30"/>
      <c r="T21" s="31"/>
      <c r="U21" s="97"/>
    </row>
    <row r="22" spans="1:21" ht="16" thickBot="1" x14ac:dyDescent="0.25">
      <c r="A22" s="416"/>
      <c r="B22" s="548"/>
      <c r="C22" s="3">
        <v>0</v>
      </c>
      <c r="D22" s="32">
        <v>0.75</v>
      </c>
      <c r="E22" s="4">
        <v>2.5</v>
      </c>
      <c r="F22" s="32">
        <v>1</v>
      </c>
      <c r="G22" s="4">
        <v>0.25</v>
      </c>
      <c r="H22" s="33">
        <v>1.75</v>
      </c>
      <c r="I22" s="467"/>
      <c r="J22" s="22" t="s">
        <v>49</v>
      </c>
      <c r="T22" s="2"/>
      <c r="U22" s="97"/>
    </row>
    <row r="23" spans="1:21" x14ac:dyDescent="0.2">
      <c r="A23" s="416"/>
      <c r="B23" s="411" t="s">
        <v>23</v>
      </c>
      <c r="C23" s="409"/>
      <c r="D23" s="409"/>
      <c r="E23" s="409"/>
      <c r="F23" s="409"/>
      <c r="G23" s="409"/>
      <c r="H23" s="410"/>
      <c r="I23" s="467"/>
      <c r="J23" s="101" t="s">
        <v>50</v>
      </c>
      <c r="K23" s="99"/>
      <c r="L23" s="99"/>
      <c r="M23" s="99"/>
      <c r="N23" s="99"/>
      <c r="O23" s="99"/>
      <c r="P23" s="99"/>
      <c r="Q23" s="99"/>
      <c r="R23" s="99"/>
      <c r="S23" s="99"/>
      <c r="T23" s="100"/>
      <c r="U23" s="97"/>
    </row>
    <row r="24" spans="1:21" x14ac:dyDescent="0.2">
      <c r="A24" s="416"/>
      <c r="B24" s="18" t="s">
        <v>24</v>
      </c>
      <c r="C24" s="19" t="s">
        <v>25</v>
      </c>
      <c r="D24" s="19" t="s">
        <v>28</v>
      </c>
      <c r="E24" s="19" t="s">
        <v>26</v>
      </c>
      <c r="F24" s="19" t="s">
        <v>30</v>
      </c>
      <c r="G24" s="19" t="s">
        <v>27</v>
      </c>
      <c r="H24" s="20" t="s">
        <v>29</v>
      </c>
      <c r="I24" s="467"/>
      <c r="J24" s="22" t="s">
        <v>51</v>
      </c>
      <c r="T24" s="2"/>
      <c r="U24" s="97"/>
    </row>
    <row r="25" spans="1:21" x14ac:dyDescent="0.2">
      <c r="A25" s="416"/>
      <c r="B25" s="21" t="s">
        <v>31</v>
      </c>
      <c r="C25">
        <v>1.5</v>
      </c>
      <c r="D25" s="34">
        <v>6</v>
      </c>
      <c r="E25">
        <v>0</v>
      </c>
      <c r="F25" s="34">
        <v>0</v>
      </c>
      <c r="G25">
        <v>0</v>
      </c>
      <c r="H25" s="2">
        <v>0</v>
      </c>
      <c r="I25" s="467"/>
      <c r="J25" s="22" t="s">
        <v>49</v>
      </c>
      <c r="K25" s="30"/>
      <c r="L25" s="30"/>
      <c r="M25" s="30"/>
      <c r="N25" s="30"/>
      <c r="O25" s="30"/>
      <c r="P25" s="30"/>
      <c r="Q25" s="30"/>
      <c r="R25" s="30"/>
      <c r="S25" s="30"/>
      <c r="T25" s="31"/>
      <c r="U25" s="97"/>
    </row>
    <row r="26" spans="1:21" x14ac:dyDescent="0.2">
      <c r="A26" s="416"/>
      <c r="B26" s="22" t="s">
        <v>32</v>
      </c>
      <c r="C26" s="30">
        <v>5.25</v>
      </c>
      <c r="D26" s="35">
        <v>49</v>
      </c>
      <c r="E26" s="30">
        <v>2</v>
      </c>
      <c r="F26" s="35">
        <v>16.5</v>
      </c>
      <c r="G26" s="30">
        <v>1.5</v>
      </c>
      <c r="H26" s="31">
        <v>8.5</v>
      </c>
      <c r="I26" s="467"/>
      <c r="J26" s="22" t="s">
        <v>50</v>
      </c>
      <c r="T26" s="2"/>
      <c r="U26" s="97"/>
    </row>
    <row r="27" spans="1:21" x14ac:dyDescent="0.2">
      <c r="A27" s="416"/>
      <c r="B27" s="22" t="s">
        <v>33</v>
      </c>
      <c r="C27">
        <v>0</v>
      </c>
      <c r="D27" s="36">
        <v>0</v>
      </c>
      <c r="E27">
        <v>0</v>
      </c>
      <c r="F27" s="36">
        <v>0</v>
      </c>
      <c r="G27">
        <v>0</v>
      </c>
      <c r="H27" s="2">
        <v>0</v>
      </c>
      <c r="I27" s="467"/>
      <c r="J27" s="470" t="s">
        <v>54</v>
      </c>
      <c r="K27" s="471"/>
      <c r="L27" s="471"/>
      <c r="M27" s="471"/>
      <c r="N27" s="471"/>
      <c r="O27" s="471"/>
      <c r="P27" s="471"/>
      <c r="Q27" s="471"/>
      <c r="R27" s="471"/>
      <c r="S27" s="471"/>
      <c r="T27" s="472"/>
      <c r="U27" s="97"/>
    </row>
    <row r="28" spans="1:21" x14ac:dyDescent="0.2">
      <c r="A28" s="416"/>
      <c r="B28" s="22" t="s">
        <v>34</v>
      </c>
      <c r="C28" s="30">
        <v>0</v>
      </c>
      <c r="D28" s="35">
        <v>0</v>
      </c>
      <c r="E28" s="30">
        <v>0</v>
      </c>
      <c r="F28" s="35">
        <v>0</v>
      </c>
      <c r="G28" s="30">
        <v>0</v>
      </c>
      <c r="H28" s="31">
        <v>0</v>
      </c>
      <c r="I28" s="467"/>
      <c r="J28" s="21" t="s">
        <v>47</v>
      </c>
      <c r="T28" s="2"/>
      <c r="U28" s="97"/>
    </row>
    <row r="29" spans="1:21" x14ac:dyDescent="0.2">
      <c r="A29" s="416"/>
      <c r="B29" s="22" t="s">
        <v>35</v>
      </c>
      <c r="C29">
        <v>0</v>
      </c>
      <c r="D29" s="36">
        <v>0</v>
      </c>
      <c r="E29">
        <v>0</v>
      </c>
      <c r="F29" s="36">
        <v>0</v>
      </c>
      <c r="G29">
        <v>0</v>
      </c>
      <c r="H29" s="2">
        <v>0</v>
      </c>
      <c r="I29" s="467"/>
      <c r="J29" s="22" t="s">
        <v>48</v>
      </c>
      <c r="K29" s="30"/>
      <c r="L29" s="30"/>
      <c r="M29" s="30"/>
      <c r="N29" s="30"/>
      <c r="O29" s="30"/>
      <c r="P29" s="30"/>
      <c r="Q29" s="30"/>
      <c r="R29" s="30"/>
      <c r="S29" s="30"/>
      <c r="T29" s="31"/>
      <c r="U29" s="97"/>
    </row>
    <row r="30" spans="1:21" x14ac:dyDescent="0.2">
      <c r="A30" s="416"/>
      <c r="B30" s="22" t="s">
        <v>36</v>
      </c>
      <c r="C30" s="30">
        <v>0</v>
      </c>
      <c r="D30" s="35">
        <v>0</v>
      </c>
      <c r="E30" s="30">
        <v>0</v>
      </c>
      <c r="F30" s="35">
        <v>0</v>
      </c>
      <c r="G30" s="30">
        <v>0</v>
      </c>
      <c r="H30" s="31">
        <v>0</v>
      </c>
      <c r="I30" s="467"/>
      <c r="J30" s="22" t="s">
        <v>49</v>
      </c>
      <c r="T30" s="2"/>
      <c r="U30" s="97"/>
    </row>
    <row r="31" spans="1:21" x14ac:dyDescent="0.2">
      <c r="A31" s="416"/>
      <c r="B31" s="22" t="s">
        <v>37</v>
      </c>
      <c r="C31">
        <v>27.25</v>
      </c>
      <c r="D31" s="36">
        <v>137</v>
      </c>
      <c r="E31">
        <v>22.5</v>
      </c>
      <c r="F31" s="36">
        <v>128.75</v>
      </c>
      <c r="G31">
        <v>0.25</v>
      </c>
      <c r="H31" s="2">
        <v>2.5</v>
      </c>
      <c r="I31" s="467"/>
      <c r="J31" s="101" t="s">
        <v>50</v>
      </c>
      <c r="K31" s="99"/>
      <c r="L31" s="99"/>
      <c r="M31" s="99"/>
      <c r="N31" s="99"/>
      <c r="O31" s="99"/>
      <c r="P31" s="99"/>
      <c r="Q31" s="99"/>
      <c r="R31" s="99"/>
      <c r="S31" s="99"/>
      <c r="T31" s="100"/>
      <c r="U31" s="97"/>
    </row>
    <row r="32" spans="1:21" x14ac:dyDescent="0.2">
      <c r="A32" s="416"/>
      <c r="B32" s="22" t="s">
        <v>38</v>
      </c>
      <c r="C32" s="30">
        <v>0</v>
      </c>
      <c r="D32" s="35">
        <v>0</v>
      </c>
      <c r="E32" s="30">
        <v>0</v>
      </c>
      <c r="F32" s="35">
        <v>0</v>
      </c>
      <c r="G32" s="30">
        <v>0</v>
      </c>
      <c r="H32" s="31">
        <v>0</v>
      </c>
      <c r="I32" s="467"/>
      <c r="J32" s="22" t="s">
        <v>51</v>
      </c>
      <c r="T32" s="2"/>
      <c r="U32" s="97"/>
    </row>
    <row r="33" spans="1:24" x14ac:dyDescent="0.2">
      <c r="A33" s="416"/>
      <c r="B33" s="22" t="s">
        <v>39</v>
      </c>
      <c r="C33">
        <v>0</v>
      </c>
      <c r="D33" s="36">
        <v>0</v>
      </c>
      <c r="E33">
        <v>0</v>
      </c>
      <c r="F33" s="36">
        <v>0</v>
      </c>
      <c r="G33">
        <v>0</v>
      </c>
      <c r="H33" s="2">
        <v>0</v>
      </c>
      <c r="I33" s="467"/>
      <c r="J33" s="22" t="s">
        <v>49</v>
      </c>
      <c r="K33" s="30"/>
      <c r="L33" s="30"/>
      <c r="M33" s="30"/>
      <c r="N33" s="30"/>
      <c r="O33" s="30"/>
      <c r="P33" s="30"/>
      <c r="Q33" s="30"/>
      <c r="R33" s="30"/>
      <c r="S33" s="30"/>
      <c r="T33" s="31"/>
      <c r="U33" s="97"/>
    </row>
    <row r="34" spans="1:24" ht="16" thickBot="1" x14ac:dyDescent="0.25">
      <c r="A34" s="416"/>
      <c r="B34" s="23" t="s">
        <v>40</v>
      </c>
      <c r="C34" s="32">
        <v>0</v>
      </c>
      <c r="D34" s="37">
        <v>0</v>
      </c>
      <c r="E34" s="32">
        <v>0</v>
      </c>
      <c r="F34" s="37">
        <v>0</v>
      </c>
      <c r="G34" s="32">
        <v>0</v>
      </c>
      <c r="H34" s="33">
        <v>0</v>
      </c>
      <c r="I34" s="467"/>
      <c r="J34" s="22" t="s">
        <v>50</v>
      </c>
      <c r="T34" s="2"/>
      <c r="U34" s="97"/>
    </row>
    <row r="35" spans="1:24" x14ac:dyDescent="0.2">
      <c r="A35" s="416"/>
      <c r="B35" s="182"/>
      <c r="C35" s="182"/>
      <c r="D35" s="182"/>
      <c r="E35" s="182"/>
      <c r="F35" s="182"/>
      <c r="G35" s="182"/>
      <c r="H35" s="45"/>
      <c r="I35" s="467"/>
      <c r="J35" s="470" t="s">
        <v>55</v>
      </c>
      <c r="K35" s="471"/>
      <c r="L35" s="471"/>
      <c r="M35" s="471"/>
      <c r="N35" s="471"/>
      <c r="O35" s="471"/>
      <c r="P35" s="471"/>
      <c r="Q35" s="471"/>
      <c r="R35" s="471"/>
      <c r="S35" s="471"/>
      <c r="T35" s="472"/>
    </row>
    <row r="36" spans="1:24" x14ac:dyDescent="0.2">
      <c r="A36" s="416"/>
      <c r="B36" s="182"/>
      <c r="C36" s="182"/>
      <c r="D36" s="182"/>
      <c r="E36" s="182"/>
      <c r="F36" s="182"/>
      <c r="G36" s="182"/>
      <c r="H36" s="45"/>
      <c r="I36" s="467"/>
      <c r="J36" s="21" t="s">
        <v>47</v>
      </c>
      <c r="T36" s="2"/>
    </row>
    <row r="37" spans="1:24" x14ac:dyDescent="0.2">
      <c r="A37" s="416"/>
      <c r="B37" s="182"/>
      <c r="C37" s="182"/>
      <c r="D37" s="182"/>
      <c r="E37" s="182"/>
      <c r="F37" s="182"/>
      <c r="G37" s="182"/>
      <c r="H37" s="45"/>
      <c r="I37" s="467"/>
      <c r="J37" s="22" t="s">
        <v>48</v>
      </c>
      <c r="K37" s="30"/>
      <c r="L37" s="30"/>
      <c r="M37" s="30"/>
      <c r="N37" s="30"/>
      <c r="O37" s="30"/>
      <c r="P37" s="30"/>
      <c r="Q37" s="30"/>
      <c r="R37" s="30"/>
      <c r="S37" s="30"/>
      <c r="T37" s="31"/>
    </row>
    <row r="38" spans="1:24" ht="16" thickBot="1" x14ac:dyDescent="0.25">
      <c r="A38" s="416"/>
      <c r="B38" s="46"/>
      <c r="C38" s="46"/>
      <c r="D38" s="46"/>
      <c r="E38" s="46"/>
      <c r="F38" s="46"/>
      <c r="G38" s="46"/>
      <c r="H38" s="47"/>
      <c r="I38" s="467"/>
      <c r="J38" s="22" t="s">
        <v>49</v>
      </c>
      <c r="T38" s="2"/>
    </row>
    <row r="39" spans="1:24" x14ac:dyDescent="0.2">
      <c r="A39" s="416"/>
      <c r="B39" s="546" t="s">
        <v>349</v>
      </c>
      <c r="C39" s="411" t="s">
        <v>376</v>
      </c>
      <c r="D39" s="409"/>
      <c r="E39" s="409"/>
      <c r="F39" s="409"/>
      <c r="G39" s="409"/>
      <c r="H39" s="410"/>
      <c r="I39" s="467"/>
      <c r="J39" s="101" t="s">
        <v>50</v>
      </c>
      <c r="K39" s="99"/>
      <c r="L39" s="99"/>
      <c r="M39" s="99"/>
      <c r="N39" s="99"/>
      <c r="O39" s="99"/>
      <c r="P39" s="99"/>
      <c r="Q39" s="99"/>
      <c r="R39" s="99"/>
      <c r="S39" s="99"/>
      <c r="T39" s="100"/>
    </row>
    <row r="40" spans="1:24" x14ac:dyDescent="0.2">
      <c r="A40" s="416"/>
      <c r="B40" s="547"/>
      <c r="C40" s="532" t="s">
        <v>8</v>
      </c>
      <c r="D40" s="533"/>
      <c r="E40" s="533" t="s">
        <v>9</v>
      </c>
      <c r="F40" s="533"/>
      <c r="G40" s="533" t="s">
        <v>10</v>
      </c>
      <c r="H40" s="535"/>
      <c r="I40" s="467"/>
      <c r="J40" s="22" t="s">
        <v>51</v>
      </c>
      <c r="T40" s="2"/>
    </row>
    <row r="41" spans="1:24" x14ac:dyDescent="0.2">
      <c r="A41" s="416"/>
      <c r="B41" s="547"/>
      <c r="C41" s="21" t="s">
        <v>5</v>
      </c>
      <c r="D41" s="165">
        <v>626</v>
      </c>
      <c r="E41" s="24" t="s">
        <v>263</v>
      </c>
      <c r="F41" s="165">
        <v>177</v>
      </c>
      <c r="G41" s="24" t="s">
        <v>5</v>
      </c>
      <c r="H41" s="164">
        <v>768</v>
      </c>
      <c r="I41" s="467"/>
      <c r="J41" s="22" t="s">
        <v>49</v>
      </c>
      <c r="K41" s="30"/>
      <c r="L41" s="30"/>
      <c r="M41" s="30"/>
      <c r="N41" s="30"/>
      <c r="O41" s="30"/>
      <c r="P41" s="30"/>
      <c r="Q41" s="30"/>
      <c r="R41" s="30"/>
      <c r="S41" s="30"/>
      <c r="T41" s="31"/>
    </row>
    <row r="42" spans="1:24" ht="16" thickBot="1" x14ac:dyDescent="0.25">
      <c r="A42" s="416"/>
      <c r="B42" s="547"/>
      <c r="C42" s="22" t="s">
        <v>6</v>
      </c>
      <c r="D42" s="30">
        <v>532</v>
      </c>
      <c r="E42" s="25" t="s">
        <v>329</v>
      </c>
      <c r="F42" s="30">
        <v>143.15</v>
      </c>
      <c r="G42" s="25" t="s">
        <v>6</v>
      </c>
      <c r="H42" s="31">
        <v>581</v>
      </c>
      <c r="I42" s="468"/>
      <c r="J42" s="23" t="s">
        <v>50</v>
      </c>
      <c r="K42" s="4"/>
      <c r="L42" s="4"/>
      <c r="M42" s="4"/>
      <c r="N42" s="4"/>
      <c r="O42" s="4"/>
      <c r="P42" s="4"/>
      <c r="Q42" s="4"/>
      <c r="R42" s="4"/>
      <c r="S42" s="4"/>
      <c r="T42" s="5"/>
    </row>
    <row r="43" spans="1:24" ht="16" thickBot="1" x14ac:dyDescent="0.25">
      <c r="A43" s="416"/>
      <c r="B43" s="547"/>
      <c r="C43" s="23" t="s">
        <v>7</v>
      </c>
      <c r="D43" s="4" t="s">
        <v>197</v>
      </c>
      <c r="E43" s="26" t="s">
        <v>7</v>
      </c>
      <c r="F43" s="4">
        <v>33.849999999999994</v>
      </c>
      <c r="G43" s="26" t="s">
        <v>7</v>
      </c>
      <c r="H43" s="5">
        <v>50</v>
      </c>
      <c r="I43" s="466" t="s">
        <v>60</v>
      </c>
      <c r="J43" s="411" t="s">
        <v>56</v>
      </c>
      <c r="K43" s="409"/>
      <c r="L43" s="409"/>
      <c r="M43" s="409"/>
      <c r="N43" s="409"/>
      <c r="O43" s="409"/>
      <c r="P43" s="409"/>
      <c r="Q43" s="409"/>
      <c r="R43" s="409"/>
      <c r="S43" s="409"/>
      <c r="T43" s="410"/>
      <c r="U43" s="95"/>
      <c r="V43" s="95"/>
      <c r="W43" s="95"/>
      <c r="X43" s="95"/>
    </row>
    <row r="44" spans="1:24" x14ac:dyDescent="0.2">
      <c r="A44" s="416"/>
      <c r="B44" s="547"/>
      <c r="C44" s="411" t="s">
        <v>12</v>
      </c>
      <c r="D44" s="409"/>
      <c r="E44" s="409"/>
      <c r="F44" s="409"/>
      <c r="G44" s="525" t="s">
        <v>2</v>
      </c>
      <c r="H44" s="321"/>
      <c r="I44" s="467"/>
      <c r="J44" s="21" t="s">
        <v>47</v>
      </c>
      <c r="T44" s="2"/>
      <c r="U44" s="94"/>
    </row>
    <row r="45" spans="1:24" x14ac:dyDescent="0.2">
      <c r="A45" s="416"/>
      <c r="B45" s="547"/>
      <c r="C45" s="532" t="s">
        <v>8</v>
      </c>
      <c r="D45" s="533"/>
      <c r="E45" s="533" t="s">
        <v>10</v>
      </c>
      <c r="F45" s="533"/>
      <c r="G45" s="544"/>
      <c r="H45" s="545"/>
      <c r="I45" s="467"/>
      <c r="J45" s="22" t="s">
        <v>48</v>
      </c>
      <c r="K45" s="30"/>
      <c r="L45" s="30"/>
      <c r="M45" s="30"/>
      <c r="N45" s="30"/>
      <c r="O45" s="30"/>
      <c r="P45" s="30"/>
      <c r="Q45" s="30"/>
      <c r="R45" s="30"/>
      <c r="S45" s="30"/>
      <c r="T45" s="31"/>
      <c r="U45" s="96"/>
    </row>
    <row r="46" spans="1:24" x14ac:dyDescent="0.2">
      <c r="A46" s="416"/>
      <c r="B46" s="547"/>
      <c r="C46" s="22" t="s">
        <v>5</v>
      </c>
      <c r="D46">
        <v>136</v>
      </c>
      <c r="E46" s="25" t="s">
        <v>5</v>
      </c>
      <c r="F46">
        <v>19</v>
      </c>
      <c r="G46" s="22" t="s">
        <v>18</v>
      </c>
      <c r="H46" s="31">
        <v>18.5</v>
      </c>
      <c r="I46" s="467"/>
      <c r="J46" s="22" t="s">
        <v>49</v>
      </c>
      <c r="T46" s="2"/>
      <c r="U46" s="96"/>
    </row>
    <row r="47" spans="1:24" x14ac:dyDescent="0.2">
      <c r="A47" s="416"/>
      <c r="B47" s="547"/>
      <c r="C47" s="22" t="s">
        <v>6</v>
      </c>
      <c r="D47" s="30">
        <v>98</v>
      </c>
      <c r="E47" s="25" t="s">
        <v>6</v>
      </c>
      <c r="F47" s="30">
        <v>0</v>
      </c>
      <c r="G47" s="22" t="s">
        <v>19</v>
      </c>
      <c r="H47" s="2">
        <v>33</v>
      </c>
      <c r="I47" s="467"/>
      <c r="J47" s="101" t="s">
        <v>50</v>
      </c>
      <c r="K47" s="99"/>
      <c r="L47" s="99"/>
      <c r="M47" s="99"/>
      <c r="N47" s="99"/>
      <c r="O47" s="99"/>
      <c r="P47" s="99"/>
      <c r="Q47" s="99"/>
      <c r="R47" s="99"/>
      <c r="S47" s="99"/>
      <c r="T47" s="100"/>
      <c r="U47" s="96"/>
    </row>
    <row r="48" spans="1:24" ht="16" thickBot="1" x14ac:dyDescent="0.25">
      <c r="A48" s="416"/>
      <c r="B48" s="547"/>
      <c r="C48" s="23" t="s">
        <v>7</v>
      </c>
      <c r="D48" s="4">
        <v>8</v>
      </c>
      <c r="E48" s="26" t="s">
        <v>7</v>
      </c>
      <c r="F48" s="4">
        <v>0</v>
      </c>
      <c r="G48" s="23" t="s">
        <v>20</v>
      </c>
      <c r="H48" s="33">
        <v>6</v>
      </c>
      <c r="I48" s="467"/>
      <c r="J48" s="22" t="s">
        <v>51</v>
      </c>
      <c r="T48" s="2"/>
      <c r="U48" s="96"/>
    </row>
    <row r="49" spans="1:21" ht="16" thickBot="1" x14ac:dyDescent="0.25">
      <c r="A49" s="416"/>
      <c r="B49" s="547"/>
      <c r="C49" s="523" t="s">
        <v>0</v>
      </c>
      <c r="D49" s="524"/>
      <c r="E49" s="133" t="s">
        <v>267</v>
      </c>
      <c r="F49" s="135">
        <v>60</v>
      </c>
      <c r="G49" s="133" t="s">
        <v>268</v>
      </c>
      <c r="H49" s="134">
        <v>40</v>
      </c>
      <c r="I49" s="467"/>
      <c r="J49" s="22" t="s">
        <v>49</v>
      </c>
      <c r="K49" s="30"/>
      <c r="L49" s="30"/>
      <c r="M49" s="30"/>
      <c r="N49" s="30"/>
      <c r="O49" s="30"/>
      <c r="P49" s="30"/>
      <c r="Q49" s="30"/>
      <c r="R49" s="30"/>
      <c r="S49" s="30"/>
      <c r="T49" s="31"/>
      <c r="U49" s="96"/>
    </row>
    <row r="50" spans="1:21" x14ac:dyDescent="0.2">
      <c r="A50" s="416"/>
      <c r="B50" s="547"/>
      <c r="C50" s="525" t="s">
        <v>262</v>
      </c>
      <c r="D50" s="320"/>
      <c r="E50" s="320"/>
      <c r="F50" s="320"/>
      <c r="G50" s="320"/>
      <c r="H50" s="321"/>
      <c r="I50" s="467"/>
      <c r="J50" s="22" t="s">
        <v>50</v>
      </c>
      <c r="T50" s="2"/>
      <c r="U50" s="96"/>
    </row>
    <row r="51" spans="1:21" x14ac:dyDescent="0.2">
      <c r="A51" s="416"/>
      <c r="B51" s="547"/>
      <c r="C51" s="27" t="s">
        <v>263</v>
      </c>
      <c r="D51" s="28" t="s">
        <v>132</v>
      </c>
      <c r="E51" s="28" t="s">
        <v>264</v>
      </c>
      <c r="F51" s="28" t="s">
        <v>22</v>
      </c>
      <c r="G51" s="28" t="s">
        <v>259</v>
      </c>
      <c r="H51" s="29" t="s">
        <v>97</v>
      </c>
      <c r="I51" s="467"/>
      <c r="J51" s="470" t="s">
        <v>57</v>
      </c>
      <c r="K51" s="471"/>
      <c r="L51" s="471"/>
      <c r="M51" s="471"/>
      <c r="N51" s="471"/>
      <c r="O51" s="471"/>
      <c r="P51" s="471"/>
      <c r="Q51" s="471"/>
      <c r="R51" s="471"/>
      <c r="S51" s="471"/>
      <c r="T51" s="472"/>
      <c r="U51" s="96"/>
    </row>
    <row r="52" spans="1:21" ht="16" thickBot="1" x14ac:dyDescent="0.25">
      <c r="A52" s="416"/>
      <c r="B52" s="547"/>
      <c r="C52" s="1">
        <v>87</v>
      </c>
      <c r="D52" s="30">
        <v>13</v>
      </c>
      <c r="E52">
        <v>16</v>
      </c>
      <c r="F52" s="30">
        <v>4</v>
      </c>
      <c r="G52">
        <v>9</v>
      </c>
      <c r="H52" s="31">
        <v>2</v>
      </c>
      <c r="I52" s="467"/>
      <c r="J52" s="21" t="s">
        <v>47</v>
      </c>
      <c r="T52" s="2"/>
      <c r="U52" s="96"/>
    </row>
    <row r="53" spans="1:21" x14ac:dyDescent="0.2">
      <c r="A53" s="416"/>
      <c r="B53" s="547"/>
      <c r="C53" s="525" t="s">
        <v>265</v>
      </c>
      <c r="D53" s="320"/>
      <c r="E53" s="320"/>
      <c r="F53" s="320"/>
      <c r="G53" s="320"/>
      <c r="H53" s="321"/>
      <c r="I53" s="467"/>
      <c r="J53" s="22" t="s">
        <v>48</v>
      </c>
      <c r="K53" s="30"/>
      <c r="L53" s="30"/>
      <c r="M53" s="30"/>
      <c r="N53" s="30"/>
      <c r="O53" s="30"/>
      <c r="P53" s="30"/>
      <c r="Q53" s="30"/>
      <c r="R53" s="30"/>
      <c r="S53" s="30"/>
      <c r="T53" s="31"/>
      <c r="U53" s="96"/>
    </row>
    <row r="54" spans="1:21" x14ac:dyDescent="0.2">
      <c r="A54" s="416"/>
      <c r="B54" s="547"/>
      <c r="C54" s="27" t="s">
        <v>263</v>
      </c>
      <c r="D54" s="28" t="s">
        <v>132</v>
      </c>
      <c r="E54" s="28" t="s">
        <v>264</v>
      </c>
      <c r="F54" s="28" t="s">
        <v>22</v>
      </c>
      <c r="G54" s="28" t="s">
        <v>259</v>
      </c>
      <c r="H54" s="29" t="s">
        <v>97</v>
      </c>
      <c r="I54" s="467"/>
      <c r="J54" s="22" t="s">
        <v>49</v>
      </c>
      <c r="T54" s="2"/>
      <c r="U54" s="96"/>
    </row>
    <row r="55" spans="1:21" ht="16" thickBot="1" x14ac:dyDescent="0.25">
      <c r="A55" s="416"/>
      <c r="B55" s="547"/>
      <c r="C55" s="160">
        <v>708</v>
      </c>
      <c r="D55" s="30">
        <v>107</v>
      </c>
      <c r="E55">
        <v>128</v>
      </c>
      <c r="F55" s="30">
        <v>32</v>
      </c>
      <c r="G55">
        <v>67</v>
      </c>
      <c r="H55" s="31">
        <v>12</v>
      </c>
      <c r="I55" s="467"/>
      <c r="J55" s="101" t="s">
        <v>50</v>
      </c>
      <c r="K55" s="99"/>
      <c r="L55" s="99"/>
      <c r="M55" s="99"/>
      <c r="N55" s="99"/>
      <c r="O55" s="99"/>
      <c r="P55" s="99"/>
      <c r="Q55" s="99"/>
      <c r="R55" s="99"/>
      <c r="S55" s="99"/>
      <c r="T55" s="100"/>
      <c r="U55" s="96"/>
    </row>
    <row r="56" spans="1:21" x14ac:dyDescent="0.2">
      <c r="A56" s="416"/>
      <c r="B56" s="547"/>
      <c r="C56" s="411" t="s">
        <v>1</v>
      </c>
      <c r="D56" s="409"/>
      <c r="E56" s="409"/>
      <c r="F56" s="409"/>
      <c r="G56" s="409"/>
      <c r="H56" s="410"/>
      <c r="I56" s="467"/>
      <c r="J56" s="22" t="s">
        <v>51</v>
      </c>
      <c r="T56" s="2"/>
      <c r="U56" s="96"/>
    </row>
    <row r="57" spans="1:21" x14ac:dyDescent="0.2">
      <c r="A57" s="416"/>
      <c r="B57" s="547"/>
      <c r="C57" s="18" t="s">
        <v>266</v>
      </c>
      <c r="D57" s="19" t="s">
        <v>45</v>
      </c>
      <c r="E57" s="19" t="s">
        <v>15</v>
      </c>
      <c r="F57" s="19" t="s">
        <v>14</v>
      </c>
      <c r="G57" s="19" t="s">
        <v>41</v>
      </c>
      <c r="H57" s="20" t="s">
        <v>43</v>
      </c>
      <c r="I57" s="467"/>
      <c r="J57" s="22" t="s">
        <v>49</v>
      </c>
      <c r="K57" s="30"/>
      <c r="L57" s="30"/>
      <c r="M57" s="30"/>
      <c r="N57" s="30"/>
      <c r="O57" s="30"/>
      <c r="P57" s="30"/>
      <c r="Q57" s="30"/>
      <c r="R57" s="30"/>
      <c r="S57" s="30"/>
      <c r="T57" s="31"/>
      <c r="U57" s="96"/>
    </row>
    <row r="58" spans="1:21" ht="16" thickBot="1" x14ac:dyDescent="0.25">
      <c r="A58" s="416"/>
      <c r="B58" s="548"/>
      <c r="C58" s="3">
        <v>0</v>
      </c>
      <c r="D58" s="32">
        <v>3</v>
      </c>
      <c r="E58" s="4">
        <v>10</v>
      </c>
      <c r="F58" s="32">
        <v>4</v>
      </c>
      <c r="G58" s="4">
        <v>1</v>
      </c>
      <c r="H58" s="33">
        <v>7</v>
      </c>
      <c r="I58" s="467"/>
      <c r="J58" s="22" t="s">
        <v>50</v>
      </c>
      <c r="T58" s="2"/>
      <c r="U58" s="96"/>
    </row>
    <row r="59" spans="1:21" x14ac:dyDescent="0.2">
      <c r="A59" s="416"/>
      <c r="B59" s="411" t="s">
        <v>23</v>
      </c>
      <c r="C59" s="409"/>
      <c r="D59" s="409"/>
      <c r="E59" s="409"/>
      <c r="F59" s="409"/>
      <c r="G59" s="409"/>
      <c r="H59" s="410"/>
      <c r="I59" s="467"/>
      <c r="J59" s="470" t="s">
        <v>54</v>
      </c>
      <c r="K59" s="471"/>
      <c r="L59" s="471"/>
      <c r="M59" s="471"/>
      <c r="N59" s="471"/>
      <c r="O59" s="471"/>
      <c r="P59" s="471"/>
      <c r="Q59" s="471"/>
      <c r="R59" s="471"/>
      <c r="S59" s="471"/>
      <c r="T59" s="472"/>
      <c r="U59" s="96"/>
    </row>
    <row r="60" spans="1:21" x14ac:dyDescent="0.2">
      <c r="A60" s="416"/>
      <c r="B60" s="18" t="s">
        <v>24</v>
      </c>
      <c r="C60" s="19" t="s">
        <v>25</v>
      </c>
      <c r="D60" s="19" t="s">
        <v>28</v>
      </c>
      <c r="E60" s="19" t="s">
        <v>26</v>
      </c>
      <c r="F60" s="19" t="s">
        <v>30</v>
      </c>
      <c r="G60" s="19" t="s">
        <v>27</v>
      </c>
      <c r="H60" s="20" t="s">
        <v>29</v>
      </c>
      <c r="I60" s="467"/>
      <c r="J60" s="21" t="s">
        <v>47</v>
      </c>
      <c r="T60" s="2"/>
      <c r="U60" s="96"/>
    </row>
    <row r="61" spans="1:21" x14ac:dyDescent="0.2">
      <c r="A61" s="416"/>
      <c r="B61" s="21" t="s">
        <v>31</v>
      </c>
      <c r="C61">
        <v>1.5</v>
      </c>
      <c r="D61" s="34">
        <v>6</v>
      </c>
      <c r="E61">
        <v>0</v>
      </c>
      <c r="F61" s="34">
        <v>0</v>
      </c>
      <c r="G61">
        <v>0</v>
      </c>
      <c r="H61" s="2">
        <v>0</v>
      </c>
      <c r="I61" s="467"/>
      <c r="J61" s="22" t="s">
        <v>48</v>
      </c>
      <c r="K61" s="30"/>
      <c r="L61" s="30"/>
      <c r="M61" s="30"/>
      <c r="N61" s="30"/>
      <c r="O61" s="30"/>
      <c r="P61" s="30"/>
      <c r="Q61" s="30"/>
      <c r="R61" s="30"/>
      <c r="S61" s="30"/>
      <c r="T61" s="31"/>
      <c r="U61" s="96"/>
    </row>
    <row r="62" spans="1:21" x14ac:dyDescent="0.2">
      <c r="A62" s="416"/>
      <c r="B62" s="22" t="s">
        <v>32</v>
      </c>
      <c r="C62" s="30">
        <v>5.25</v>
      </c>
      <c r="D62" s="35">
        <v>49</v>
      </c>
      <c r="E62" s="30">
        <v>2</v>
      </c>
      <c r="F62" s="35">
        <v>16.5</v>
      </c>
      <c r="G62" s="30">
        <v>1.5</v>
      </c>
      <c r="H62" s="31">
        <v>8.5</v>
      </c>
      <c r="I62" s="467"/>
      <c r="J62" s="22" t="s">
        <v>49</v>
      </c>
      <c r="T62" s="2"/>
      <c r="U62" s="96"/>
    </row>
    <row r="63" spans="1:21" x14ac:dyDescent="0.2">
      <c r="A63" s="416"/>
      <c r="B63" s="22" t="s">
        <v>33</v>
      </c>
      <c r="C63">
        <v>0</v>
      </c>
      <c r="D63" s="36">
        <v>0</v>
      </c>
      <c r="E63">
        <v>0</v>
      </c>
      <c r="F63" s="36">
        <v>0</v>
      </c>
      <c r="G63">
        <v>0</v>
      </c>
      <c r="H63" s="2">
        <v>0</v>
      </c>
      <c r="I63" s="467"/>
      <c r="J63" s="101" t="s">
        <v>50</v>
      </c>
      <c r="K63" s="99"/>
      <c r="L63" s="99"/>
      <c r="M63" s="99"/>
      <c r="N63" s="99"/>
      <c r="O63" s="99"/>
      <c r="P63" s="99"/>
      <c r="Q63" s="99"/>
      <c r="R63" s="99"/>
      <c r="S63" s="99"/>
      <c r="T63" s="100"/>
      <c r="U63" s="96"/>
    </row>
    <row r="64" spans="1:21" x14ac:dyDescent="0.2">
      <c r="A64" s="416"/>
      <c r="B64" s="22" t="s">
        <v>34</v>
      </c>
      <c r="C64" s="30">
        <v>0</v>
      </c>
      <c r="D64" s="35">
        <v>0</v>
      </c>
      <c r="E64" s="30">
        <v>0</v>
      </c>
      <c r="F64" s="35">
        <v>0</v>
      </c>
      <c r="G64" s="30">
        <v>0</v>
      </c>
      <c r="H64" s="31">
        <v>0</v>
      </c>
      <c r="I64" s="467"/>
      <c r="J64" s="22" t="s">
        <v>51</v>
      </c>
      <c r="T64" s="2"/>
      <c r="U64" s="96"/>
    </row>
    <row r="65" spans="1:21" x14ac:dyDescent="0.2">
      <c r="A65" s="416"/>
      <c r="B65" s="22" t="s">
        <v>35</v>
      </c>
      <c r="C65">
        <v>0</v>
      </c>
      <c r="D65" s="36">
        <v>0</v>
      </c>
      <c r="E65">
        <v>0</v>
      </c>
      <c r="F65" s="36">
        <v>0</v>
      </c>
      <c r="G65">
        <v>0</v>
      </c>
      <c r="H65" s="2">
        <v>0</v>
      </c>
      <c r="I65" s="467"/>
      <c r="J65" s="22" t="s">
        <v>49</v>
      </c>
      <c r="K65" s="30"/>
      <c r="L65" s="30"/>
      <c r="M65" s="30"/>
      <c r="N65" s="30"/>
      <c r="O65" s="30"/>
      <c r="P65" s="30"/>
      <c r="Q65" s="30"/>
      <c r="R65" s="30"/>
      <c r="S65" s="30"/>
      <c r="T65" s="31"/>
      <c r="U65" s="96"/>
    </row>
    <row r="66" spans="1:21" x14ac:dyDescent="0.2">
      <c r="A66" s="416"/>
      <c r="B66" s="22" t="s">
        <v>36</v>
      </c>
      <c r="C66" s="30">
        <v>0</v>
      </c>
      <c r="D66" s="35">
        <v>0</v>
      </c>
      <c r="E66" s="30">
        <v>0</v>
      </c>
      <c r="F66" s="35">
        <v>0</v>
      </c>
      <c r="G66" s="30">
        <v>0</v>
      </c>
      <c r="H66" s="31">
        <v>0</v>
      </c>
      <c r="I66" s="467"/>
      <c r="J66" s="22" t="s">
        <v>50</v>
      </c>
      <c r="T66" s="2"/>
      <c r="U66" s="96"/>
    </row>
    <row r="67" spans="1:21" x14ac:dyDescent="0.2">
      <c r="A67" s="416"/>
      <c r="B67" s="22" t="s">
        <v>37</v>
      </c>
      <c r="C67">
        <v>27.25</v>
      </c>
      <c r="D67" s="36">
        <v>137</v>
      </c>
      <c r="E67">
        <v>22.5</v>
      </c>
      <c r="F67" s="36">
        <v>128.75</v>
      </c>
      <c r="G67">
        <v>0.25</v>
      </c>
      <c r="H67" s="2">
        <v>2.5</v>
      </c>
      <c r="I67" s="467"/>
      <c r="J67" s="470" t="s">
        <v>55</v>
      </c>
      <c r="K67" s="471"/>
      <c r="L67" s="471"/>
      <c r="M67" s="471"/>
      <c r="N67" s="471"/>
      <c r="O67" s="471"/>
      <c r="P67" s="471"/>
      <c r="Q67" s="471"/>
      <c r="R67" s="471"/>
      <c r="S67" s="471"/>
      <c r="T67" s="472"/>
      <c r="U67" s="96"/>
    </row>
    <row r="68" spans="1:21" x14ac:dyDescent="0.2">
      <c r="A68" s="416"/>
      <c r="B68" s="22" t="s">
        <v>38</v>
      </c>
      <c r="C68" s="30">
        <v>0</v>
      </c>
      <c r="D68" s="35">
        <v>0</v>
      </c>
      <c r="E68" s="30">
        <v>0</v>
      </c>
      <c r="F68" s="35">
        <v>0</v>
      </c>
      <c r="G68" s="30">
        <v>0</v>
      </c>
      <c r="H68" s="31">
        <v>0</v>
      </c>
      <c r="I68" s="467"/>
      <c r="J68" s="21" t="s">
        <v>47</v>
      </c>
      <c r="T68" s="2"/>
      <c r="U68" s="96"/>
    </row>
    <row r="69" spans="1:21" x14ac:dyDescent="0.2">
      <c r="A69" s="48"/>
      <c r="B69" s="22" t="s">
        <v>39</v>
      </c>
      <c r="C69">
        <v>0</v>
      </c>
      <c r="D69" s="36">
        <v>0</v>
      </c>
      <c r="E69">
        <v>0</v>
      </c>
      <c r="F69" s="36">
        <v>0</v>
      </c>
      <c r="G69">
        <v>0</v>
      </c>
      <c r="H69" s="2">
        <v>0</v>
      </c>
      <c r="I69" s="467"/>
      <c r="J69" s="22" t="s">
        <v>48</v>
      </c>
      <c r="K69" s="30"/>
      <c r="L69" s="30"/>
      <c r="M69" s="30"/>
      <c r="N69" s="30"/>
      <c r="O69" s="30"/>
      <c r="P69" s="30"/>
      <c r="Q69" s="30"/>
      <c r="R69" s="30"/>
      <c r="S69" s="30"/>
      <c r="T69" s="31"/>
      <c r="U69" s="96"/>
    </row>
    <row r="70" spans="1:21" ht="16" thickBot="1" x14ac:dyDescent="0.25">
      <c r="A70" s="48"/>
      <c r="B70" s="23" t="s">
        <v>40</v>
      </c>
      <c r="C70" s="32">
        <v>0</v>
      </c>
      <c r="D70" s="37">
        <v>0</v>
      </c>
      <c r="E70" s="32">
        <v>0</v>
      </c>
      <c r="F70" s="37">
        <v>0</v>
      </c>
      <c r="G70" s="32">
        <v>0</v>
      </c>
      <c r="H70" s="33">
        <v>0</v>
      </c>
      <c r="I70" s="467"/>
      <c r="J70" s="22" t="s">
        <v>49</v>
      </c>
      <c r="T70" s="2"/>
      <c r="U70" s="96"/>
    </row>
    <row r="71" spans="1:21" x14ac:dyDescent="0.2">
      <c r="A71" s="48"/>
      <c r="B71" s="49"/>
      <c r="C71" s="49"/>
      <c r="D71" s="49"/>
      <c r="E71" s="49"/>
      <c r="F71" s="49"/>
      <c r="G71" s="49"/>
      <c r="H71" s="50"/>
      <c r="I71" s="467"/>
      <c r="J71" s="101" t="s">
        <v>50</v>
      </c>
      <c r="K71" s="99"/>
      <c r="L71" s="99"/>
      <c r="M71" s="99"/>
      <c r="N71" s="99"/>
      <c r="O71" s="99"/>
      <c r="P71" s="99"/>
      <c r="Q71" s="99"/>
      <c r="R71" s="99"/>
      <c r="S71" s="99"/>
      <c r="T71" s="100"/>
      <c r="U71" s="96"/>
    </row>
    <row r="72" spans="1:21" x14ac:dyDescent="0.2">
      <c r="A72" s="48"/>
      <c r="B72" s="49"/>
      <c r="C72" s="49"/>
      <c r="D72" s="49"/>
      <c r="E72" s="49"/>
      <c r="F72" s="49"/>
      <c r="G72" s="49"/>
      <c r="H72" s="50"/>
      <c r="I72" s="467"/>
      <c r="J72" s="22" t="s">
        <v>51</v>
      </c>
      <c r="T72" s="2"/>
      <c r="U72" s="96"/>
    </row>
    <row r="73" spans="1:21" x14ac:dyDescent="0.2">
      <c r="A73" s="48"/>
      <c r="B73" s="49"/>
      <c r="C73" s="49"/>
      <c r="D73" s="49"/>
      <c r="E73" s="49"/>
      <c r="F73" s="49"/>
      <c r="G73" s="49"/>
      <c r="H73" s="50"/>
      <c r="I73" s="467"/>
      <c r="J73" s="22" t="s">
        <v>49</v>
      </c>
      <c r="K73" s="30"/>
      <c r="L73" s="30"/>
      <c r="M73" s="30"/>
      <c r="N73" s="30"/>
      <c r="O73" s="30"/>
      <c r="P73" s="30"/>
      <c r="Q73" s="30"/>
      <c r="R73" s="30"/>
      <c r="S73" s="30"/>
      <c r="T73" s="31"/>
      <c r="U73" s="96"/>
    </row>
    <row r="74" spans="1:21" ht="16" thickBot="1" x14ac:dyDescent="0.25">
      <c r="A74" s="51"/>
      <c r="B74" s="52"/>
      <c r="C74" s="52"/>
      <c r="D74" s="52"/>
      <c r="E74" s="52"/>
      <c r="F74" s="52"/>
      <c r="G74" s="52"/>
      <c r="H74" s="53"/>
      <c r="I74" s="468"/>
      <c r="J74" s="23" t="s">
        <v>50</v>
      </c>
      <c r="K74" s="4"/>
      <c r="L74" s="4"/>
      <c r="M74" s="4"/>
      <c r="N74" s="4"/>
      <c r="O74" s="4"/>
      <c r="P74" s="4"/>
      <c r="Q74" s="4"/>
      <c r="R74" s="4"/>
      <c r="S74" s="4"/>
      <c r="T74" s="5"/>
      <c r="U74" s="96"/>
    </row>
  </sheetData>
  <mergeCells count="42">
    <mergeCell ref="G1:I1"/>
    <mergeCell ref="A2:T2"/>
    <mergeCell ref="A3:A68"/>
    <mergeCell ref="B3:B22"/>
    <mergeCell ref="C3:H3"/>
    <mergeCell ref="I3:I42"/>
    <mergeCell ref="J3:T3"/>
    <mergeCell ref="C4:D4"/>
    <mergeCell ref="E4:F4"/>
    <mergeCell ref="G4:H4"/>
    <mergeCell ref="J27:T27"/>
    <mergeCell ref="C8:F8"/>
    <mergeCell ref="G8:H9"/>
    <mergeCell ref="C9:D9"/>
    <mergeCell ref="E9:F9"/>
    <mergeCell ref="J11:T11"/>
    <mergeCell ref="C13:D13"/>
    <mergeCell ref="C14:H14"/>
    <mergeCell ref="C17:H17"/>
    <mergeCell ref="J19:T19"/>
    <mergeCell ref="C20:H20"/>
    <mergeCell ref="B23:H23"/>
    <mergeCell ref="J35:T35"/>
    <mergeCell ref="B39:B58"/>
    <mergeCell ref="C39:H39"/>
    <mergeCell ref="C40:D40"/>
    <mergeCell ref="E40:F40"/>
    <mergeCell ref="G40:H40"/>
    <mergeCell ref="I43:I74"/>
    <mergeCell ref="J43:T43"/>
    <mergeCell ref="C44:F44"/>
    <mergeCell ref="G44:H45"/>
    <mergeCell ref="C56:H56"/>
    <mergeCell ref="B59:H59"/>
    <mergeCell ref="J59:T59"/>
    <mergeCell ref="J67:T67"/>
    <mergeCell ref="C45:D45"/>
    <mergeCell ref="E45:F45"/>
    <mergeCell ref="C49:D49"/>
    <mergeCell ref="C50:H50"/>
    <mergeCell ref="J51:T51"/>
    <mergeCell ref="C53:H53"/>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E92EE-5480-44D0-A8EE-C76FC4DF3A27}">
  <sheetPr codeName="Sheet3">
    <tabColor theme="5"/>
  </sheetPr>
  <dimension ref="A1:O98"/>
  <sheetViews>
    <sheetView tabSelected="1" topLeftCell="A75" workbookViewId="0">
      <selection activeCell="J110" sqref="J110"/>
    </sheetView>
  </sheetViews>
  <sheetFormatPr baseColWidth="10" defaultColWidth="8.83203125" defaultRowHeight="15" x14ac:dyDescent="0.2"/>
  <cols>
    <col min="2" max="2" width="8.5" bestFit="1" customWidth="1"/>
    <col min="3" max="3" width="12.5" bestFit="1" customWidth="1"/>
    <col min="4" max="4" width="9.83203125" bestFit="1" customWidth="1"/>
    <col min="5" max="5" width="14" bestFit="1" customWidth="1"/>
    <col min="6" max="6" width="10.33203125" bestFit="1" customWidth="1"/>
    <col min="7" max="7" width="17.5" bestFit="1" customWidth="1"/>
    <col min="8" max="8" width="9.33203125" customWidth="1"/>
  </cols>
  <sheetData>
    <row r="1" spans="1:15" ht="16" thickBot="1" x14ac:dyDescent="0.25">
      <c r="A1" s="180"/>
      <c r="B1" s="142"/>
      <c r="C1" s="142"/>
      <c r="D1" s="142"/>
      <c r="E1" s="142"/>
      <c r="F1" s="513" t="s">
        <v>377</v>
      </c>
      <c r="G1" s="513"/>
      <c r="H1" s="562"/>
      <c r="I1" s="562"/>
      <c r="J1" s="142"/>
      <c r="K1" s="142"/>
      <c r="L1" s="144"/>
      <c r="M1" s="144"/>
      <c r="N1" s="144"/>
      <c r="O1" s="143"/>
    </row>
    <row r="2" spans="1:15" ht="15" customHeight="1" thickBot="1" x14ac:dyDescent="0.25">
      <c r="A2" s="412" t="s">
        <v>13</v>
      </c>
      <c r="B2" s="413"/>
      <c r="C2" s="413"/>
      <c r="D2" s="413"/>
      <c r="E2" s="413"/>
      <c r="F2" s="413"/>
      <c r="G2" s="413"/>
      <c r="H2" s="413"/>
      <c r="I2" s="413"/>
      <c r="J2" s="413"/>
      <c r="K2" s="413"/>
      <c r="L2" s="413"/>
      <c r="M2" s="413"/>
      <c r="N2" s="413"/>
      <c r="O2" s="444"/>
    </row>
    <row r="3" spans="1:15" x14ac:dyDescent="0.2">
      <c r="A3" s="436"/>
      <c r="B3" s="539" t="s">
        <v>58</v>
      </c>
      <c r="C3" s="426" t="s">
        <v>376</v>
      </c>
      <c r="D3" s="424"/>
      <c r="E3" s="424"/>
      <c r="F3" s="424"/>
      <c r="G3" s="424"/>
      <c r="H3" s="425"/>
      <c r="I3" s="452" t="s">
        <v>63</v>
      </c>
      <c r="J3" s="522" t="s">
        <v>46</v>
      </c>
      <c r="K3" s="323"/>
      <c r="L3" s="452" t="s">
        <v>378</v>
      </c>
      <c r="M3" s="522" t="s">
        <v>46</v>
      </c>
      <c r="N3" s="323"/>
      <c r="O3" s="41"/>
    </row>
    <row r="4" spans="1:15" x14ac:dyDescent="0.2">
      <c r="A4" s="436"/>
      <c r="B4" s="540"/>
      <c r="C4" s="526" t="s">
        <v>429</v>
      </c>
      <c r="D4" s="527"/>
      <c r="E4" s="527" t="s">
        <v>428</v>
      </c>
      <c r="F4" s="527"/>
      <c r="G4" s="527" t="s">
        <v>431</v>
      </c>
      <c r="H4" s="528"/>
      <c r="I4" s="453"/>
      <c r="J4" s="536"/>
      <c r="K4" s="537"/>
      <c r="L4" s="453"/>
      <c r="M4" s="536"/>
      <c r="N4" s="537"/>
      <c r="O4" s="41"/>
    </row>
    <row r="5" spans="1:15" x14ac:dyDescent="0.2">
      <c r="A5" s="436"/>
      <c r="B5" s="540"/>
      <c r="C5" s="9" t="s">
        <v>425</v>
      </c>
      <c r="D5" s="165"/>
      <c r="E5" s="12" t="s">
        <v>263</v>
      </c>
      <c r="F5" s="165"/>
      <c r="G5" s="12" t="s">
        <v>5</v>
      </c>
      <c r="H5" s="164"/>
      <c r="I5" s="453"/>
      <c r="J5" s="284" t="s">
        <v>48</v>
      </c>
      <c r="K5" s="31"/>
      <c r="L5" s="453"/>
      <c r="M5" s="284" t="s">
        <v>48</v>
      </c>
      <c r="N5" s="31"/>
      <c r="O5" s="41"/>
    </row>
    <row r="6" spans="1:15" x14ac:dyDescent="0.2">
      <c r="A6" s="436"/>
      <c r="B6" s="540"/>
      <c r="C6" s="10" t="s">
        <v>6</v>
      </c>
      <c r="D6" s="30"/>
      <c r="E6" s="13" t="s">
        <v>5</v>
      </c>
      <c r="F6" s="30"/>
      <c r="G6" s="13" t="s">
        <v>6</v>
      </c>
      <c r="H6" s="31"/>
      <c r="I6" s="453"/>
      <c r="J6" s="284" t="s">
        <v>49</v>
      </c>
      <c r="K6" s="2"/>
      <c r="L6" s="453"/>
      <c r="M6" s="284" t="s">
        <v>49</v>
      </c>
      <c r="N6" s="2"/>
      <c r="O6" s="41"/>
    </row>
    <row r="7" spans="1:15" ht="16" thickBot="1" x14ac:dyDescent="0.25">
      <c r="A7" s="436"/>
      <c r="B7" s="540"/>
      <c r="C7" s="11" t="s">
        <v>424</v>
      </c>
      <c r="D7" s="4"/>
      <c r="E7" s="14" t="s">
        <v>7</v>
      </c>
      <c r="F7" s="4"/>
      <c r="G7" s="14" t="s">
        <v>7</v>
      </c>
      <c r="H7" s="5"/>
      <c r="I7" s="453"/>
      <c r="J7" s="285" t="s">
        <v>50</v>
      </c>
      <c r="K7" s="100"/>
      <c r="L7" s="453"/>
      <c r="M7" s="285" t="s">
        <v>50</v>
      </c>
      <c r="N7" s="100"/>
      <c r="O7" s="41"/>
    </row>
    <row r="8" spans="1:15" x14ac:dyDescent="0.2">
      <c r="A8" s="436"/>
      <c r="B8" s="540"/>
      <c r="C8" s="426" t="s">
        <v>12</v>
      </c>
      <c r="D8" s="424"/>
      <c r="E8" s="424"/>
      <c r="F8" s="424"/>
      <c r="G8" s="522" t="s">
        <v>2</v>
      </c>
      <c r="H8" s="323"/>
      <c r="I8" s="453"/>
      <c r="J8" s="284" t="s">
        <v>51</v>
      </c>
      <c r="K8" s="2"/>
      <c r="L8" s="453"/>
      <c r="M8" s="284" t="s">
        <v>51</v>
      </c>
      <c r="N8" s="2"/>
      <c r="O8" s="41"/>
    </row>
    <row r="9" spans="1:15" x14ac:dyDescent="0.2">
      <c r="A9" s="436"/>
      <c r="B9" s="540"/>
      <c r="C9" s="518" t="s">
        <v>426</v>
      </c>
      <c r="D9" s="519"/>
      <c r="E9" s="519" t="s">
        <v>427</v>
      </c>
      <c r="F9" s="519"/>
      <c r="G9" s="536"/>
      <c r="H9" s="537"/>
      <c r="I9" s="453"/>
      <c r="J9" s="284" t="s">
        <v>49</v>
      </c>
      <c r="K9" s="31"/>
      <c r="L9" s="453"/>
      <c r="M9" s="284" t="s">
        <v>49</v>
      </c>
      <c r="N9" s="31"/>
      <c r="O9" s="41"/>
    </row>
    <row r="10" spans="1:15" x14ac:dyDescent="0.2">
      <c r="A10" s="436"/>
      <c r="B10" s="540"/>
      <c r="C10" s="10" t="s">
        <v>425</v>
      </c>
      <c r="E10" s="13" t="s">
        <v>425</v>
      </c>
      <c r="G10" s="10" t="s">
        <v>18</v>
      </c>
      <c r="H10" s="31"/>
      <c r="I10" s="453"/>
      <c r="J10" s="284" t="s">
        <v>50</v>
      </c>
      <c r="K10" s="2"/>
      <c r="L10" s="453"/>
      <c r="M10" s="284" t="s">
        <v>50</v>
      </c>
      <c r="N10" s="2"/>
      <c r="O10" s="41"/>
    </row>
    <row r="11" spans="1:15" x14ac:dyDescent="0.2">
      <c r="A11" s="436"/>
      <c r="B11" s="540"/>
      <c r="C11" s="10" t="s">
        <v>6</v>
      </c>
      <c r="D11" s="30"/>
      <c r="E11" s="13" t="s">
        <v>6</v>
      </c>
      <c r="F11" s="30"/>
      <c r="G11" s="10" t="s">
        <v>354</v>
      </c>
      <c r="H11" s="2"/>
      <c r="I11" s="453"/>
      <c r="J11" s="560" t="s">
        <v>52</v>
      </c>
      <c r="K11" s="561"/>
      <c r="L11" s="453"/>
      <c r="M11" s="560" t="s">
        <v>52</v>
      </c>
      <c r="N11" s="561"/>
      <c r="O11" s="41"/>
    </row>
    <row r="12" spans="1:15" ht="16" thickBot="1" x14ac:dyDescent="0.25">
      <c r="A12" s="436"/>
      <c r="B12" s="540"/>
      <c r="C12" s="11" t="s">
        <v>7</v>
      </c>
      <c r="D12" s="4"/>
      <c r="E12" s="14" t="s">
        <v>7</v>
      </c>
      <c r="F12" s="4"/>
      <c r="G12" s="11" t="s">
        <v>353</v>
      </c>
      <c r="H12" s="33"/>
      <c r="I12" s="453"/>
      <c r="J12" s="536"/>
      <c r="K12" s="537"/>
      <c r="L12" s="453"/>
      <c r="M12" s="536"/>
      <c r="N12" s="537"/>
      <c r="O12" s="41"/>
    </row>
    <row r="13" spans="1:15" ht="16" thickBot="1" x14ac:dyDescent="0.25">
      <c r="A13" s="436"/>
      <c r="B13" s="540"/>
      <c r="C13" s="520" t="s">
        <v>0</v>
      </c>
      <c r="D13" s="521"/>
      <c r="E13" s="139" t="s">
        <v>267</v>
      </c>
      <c r="F13" s="135"/>
      <c r="G13" s="139" t="s">
        <v>268</v>
      </c>
      <c r="H13" s="134"/>
      <c r="I13" s="453"/>
      <c r="J13" s="284" t="s">
        <v>48</v>
      </c>
      <c r="K13" s="563"/>
      <c r="L13" s="453"/>
      <c r="M13" s="284" t="s">
        <v>48</v>
      </c>
      <c r="N13" s="31"/>
      <c r="O13" s="41"/>
    </row>
    <row r="14" spans="1:15" x14ac:dyDescent="0.2">
      <c r="A14" s="436"/>
      <c r="B14" s="540"/>
      <c r="C14" s="522" t="s">
        <v>262</v>
      </c>
      <c r="D14" s="322"/>
      <c r="E14" s="322"/>
      <c r="F14" s="322"/>
      <c r="G14" s="322"/>
      <c r="H14" s="323"/>
      <c r="I14" s="453"/>
      <c r="J14" s="284" t="s">
        <v>49</v>
      </c>
      <c r="K14" s="564"/>
      <c r="L14" s="453"/>
      <c r="M14" s="284" t="s">
        <v>49</v>
      </c>
      <c r="N14" s="2"/>
      <c r="O14" s="41"/>
    </row>
    <row r="15" spans="1:15" x14ac:dyDescent="0.2">
      <c r="A15" s="436"/>
      <c r="B15" s="540"/>
      <c r="C15" s="136" t="s">
        <v>263</v>
      </c>
      <c r="D15" s="137" t="s">
        <v>132</v>
      </c>
      <c r="E15" s="137" t="s">
        <v>264</v>
      </c>
      <c r="F15" s="137" t="s">
        <v>22</v>
      </c>
      <c r="G15" s="137" t="s">
        <v>259</v>
      </c>
      <c r="H15" s="138" t="s">
        <v>97</v>
      </c>
      <c r="I15" s="453"/>
      <c r="J15" s="285" t="s">
        <v>50</v>
      </c>
      <c r="K15" s="99"/>
      <c r="L15" s="453"/>
      <c r="M15" s="285" t="s">
        <v>50</v>
      </c>
      <c r="N15" s="100"/>
      <c r="O15" s="41"/>
    </row>
    <row r="16" spans="1:15" ht="16" thickBot="1" x14ac:dyDescent="0.25">
      <c r="A16" s="436"/>
      <c r="B16" s="540"/>
      <c r="C16" s="1"/>
      <c r="D16" s="30"/>
      <c r="F16" s="30"/>
      <c r="H16" s="31"/>
      <c r="I16" s="453"/>
      <c r="J16" s="284" t="s">
        <v>51</v>
      </c>
      <c r="K16" s="564"/>
      <c r="L16" s="453"/>
      <c r="M16" s="284" t="s">
        <v>51</v>
      </c>
      <c r="N16" s="2"/>
      <c r="O16" s="41"/>
    </row>
    <row r="17" spans="1:15" x14ac:dyDescent="0.2">
      <c r="A17" s="436"/>
      <c r="B17" s="540"/>
      <c r="C17" s="522" t="s">
        <v>265</v>
      </c>
      <c r="D17" s="322"/>
      <c r="E17" s="322"/>
      <c r="F17" s="322"/>
      <c r="G17" s="322"/>
      <c r="H17" s="323"/>
      <c r="I17" s="453"/>
      <c r="J17" s="284" t="s">
        <v>49</v>
      </c>
      <c r="K17" s="563"/>
      <c r="L17" s="453"/>
      <c r="M17" s="284" t="s">
        <v>49</v>
      </c>
      <c r="N17" s="31"/>
      <c r="O17" s="41"/>
    </row>
    <row r="18" spans="1:15" x14ac:dyDescent="0.2">
      <c r="A18" s="436"/>
      <c r="B18" s="540"/>
      <c r="C18" s="136" t="s">
        <v>263</v>
      </c>
      <c r="D18" s="137" t="s">
        <v>132</v>
      </c>
      <c r="E18" s="137" t="s">
        <v>264</v>
      </c>
      <c r="F18" s="137" t="s">
        <v>22</v>
      </c>
      <c r="G18" s="137" t="s">
        <v>259</v>
      </c>
      <c r="H18" s="138" t="s">
        <v>97</v>
      </c>
      <c r="I18" s="453"/>
      <c r="J18" s="284" t="s">
        <v>50</v>
      </c>
      <c r="K18" s="564"/>
      <c r="L18" s="453"/>
      <c r="M18" s="284" t="s">
        <v>50</v>
      </c>
      <c r="N18" s="2"/>
      <c r="O18" s="41"/>
    </row>
    <row r="19" spans="1:15" ht="16" thickBot="1" x14ac:dyDescent="0.25">
      <c r="A19" s="436"/>
      <c r="B19" s="540"/>
      <c r="C19" s="160"/>
      <c r="D19" s="30"/>
      <c r="F19" s="30"/>
      <c r="H19" s="31"/>
      <c r="I19" s="453"/>
      <c r="J19" s="560" t="s">
        <v>53</v>
      </c>
      <c r="K19" s="561"/>
      <c r="L19" s="453"/>
      <c r="M19" s="560" t="s">
        <v>53</v>
      </c>
      <c r="N19" s="561"/>
      <c r="O19" s="41"/>
    </row>
    <row r="20" spans="1:15" x14ac:dyDescent="0.2">
      <c r="A20" s="436"/>
      <c r="B20" s="540"/>
      <c r="C20" s="426" t="s">
        <v>1</v>
      </c>
      <c r="D20" s="424"/>
      <c r="E20" s="424"/>
      <c r="F20" s="424"/>
      <c r="G20" s="424"/>
      <c r="H20" s="425"/>
      <c r="I20" s="453"/>
      <c r="J20" s="536"/>
      <c r="K20" s="537"/>
      <c r="L20" s="453"/>
      <c r="M20" s="536"/>
      <c r="N20" s="537"/>
      <c r="O20" s="41"/>
    </row>
    <row r="21" spans="1:15" x14ac:dyDescent="0.2">
      <c r="A21" s="436"/>
      <c r="B21" s="540"/>
      <c r="C21" s="136" t="s">
        <v>266</v>
      </c>
      <c r="D21" s="137" t="s">
        <v>45</v>
      </c>
      <c r="E21" s="137" t="s">
        <v>15</v>
      </c>
      <c r="F21" s="137" t="s">
        <v>14</v>
      </c>
      <c r="G21" s="137" t="s">
        <v>42</v>
      </c>
      <c r="H21" s="138" t="s">
        <v>44</v>
      </c>
      <c r="I21" s="453"/>
      <c r="J21" s="284" t="s">
        <v>48</v>
      </c>
      <c r="K21" s="563"/>
      <c r="L21" s="453"/>
      <c r="M21" s="284" t="s">
        <v>48</v>
      </c>
      <c r="N21" s="31"/>
      <c r="O21" s="41"/>
    </row>
    <row r="22" spans="1:15" ht="16" thickBot="1" x14ac:dyDescent="0.25">
      <c r="A22" s="436"/>
      <c r="B22" s="541"/>
      <c r="C22" s="3"/>
      <c r="D22" s="32"/>
      <c r="E22" s="4"/>
      <c r="F22" s="32"/>
      <c r="G22" s="4"/>
      <c r="H22" s="33"/>
      <c r="I22" s="453"/>
      <c r="J22" s="284" t="s">
        <v>49</v>
      </c>
      <c r="K22" s="564"/>
      <c r="L22" s="453"/>
      <c r="M22" s="284" t="s">
        <v>49</v>
      </c>
      <c r="N22" s="2"/>
      <c r="O22" s="41"/>
    </row>
    <row r="23" spans="1:15" x14ac:dyDescent="0.2">
      <c r="A23" s="436"/>
      <c r="B23" s="426" t="s">
        <v>23</v>
      </c>
      <c r="C23" s="424"/>
      <c r="D23" s="424"/>
      <c r="E23" s="424"/>
      <c r="F23" s="424"/>
      <c r="G23" s="424"/>
      <c r="H23" s="425"/>
      <c r="I23" s="453"/>
      <c r="J23" s="285" t="s">
        <v>50</v>
      </c>
      <c r="K23" s="99"/>
      <c r="L23" s="453"/>
      <c r="M23" s="285" t="s">
        <v>50</v>
      </c>
      <c r="N23" s="100"/>
      <c r="O23" s="41"/>
    </row>
    <row r="24" spans="1:15" x14ac:dyDescent="0.2">
      <c r="A24" s="436"/>
      <c r="B24" s="136" t="s">
        <v>24</v>
      </c>
      <c r="C24" s="137" t="s">
        <v>25</v>
      </c>
      <c r="D24" s="137" t="s">
        <v>28</v>
      </c>
      <c r="E24" s="137" t="s">
        <v>26</v>
      </c>
      <c r="F24" s="137" t="s">
        <v>30</v>
      </c>
      <c r="G24" s="137" t="s">
        <v>27</v>
      </c>
      <c r="H24" s="138" t="s">
        <v>29</v>
      </c>
      <c r="I24" s="453"/>
      <c r="J24" s="284" t="s">
        <v>51</v>
      </c>
      <c r="K24" s="564"/>
      <c r="L24" s="453"/>
      <c r="M24" s="284" t="s">
        <v>51</v>
      </c>
      <c r="N24" s="2"/>
      <c r="O24" s="41"/>
    </row>
    <row r="25" spans="1:15" x14ac:dyDescent="0.2">
      <c r="A25" s="436"/>
      <c r="B25" s="9" t="s">
        <v>31</v>
      </c>
      <c r="D25" s="34"/>
      <c r="F25" s="34"/>
      <c r="H25" s="2"/>
      <c r="I25" s="453"/>
      <c r="J25" s="284" t="s">
        <v>49</v>
      </c>
      <c r="K25" s="563"/>
      <c r="L25" s="453"/>
      <c r="M25" s="284" t="s">
        <v>49</v>
      </c>
      <c r="N25" s="31"/>
      <c r="O25" s="41"/>
    </row>
    <row r="26" spans="1:15" x14ac:dyDescent="0.2">
      <c r="A26" s="436"/>
      <c r="B26" s="10" t="s">
        <v>32</v>
      </c>
      <c r="C26" s="30"/>
      <c r="D26" s="35"/>
      <c r="E26" s="30"/>
      <c r="F26" s="35"/>
      <c r="G26" s="30"/>
      <c r="H26" s="31"/>
      <c r="I26" s="453"/>
      <c r="J26" s="284" t="s">
        <v>50</v>
      </c>
      <c r="K26" s="564"/>
      <c r="L26" s="453"/>
      <c r="M26" s="284" t="s">
        <v>50</v>
      </c>
      <c r="N26" s="2"/>
      <c r="O26" s="41"/>
    </row>
    <row r="27" spans="1:15" x14ac:dyDescent="0.2">
      <c r="A27" s="436"/>
      <c r="B27" s="10" t="s">
        <v>33</v>
      </c>
      <c r="D27" s="36"/>
      <c r="F27" s="36"/>
      <c r="H27" s="2"/>
      <c r="I27" s="453"/>
      <c r="J27" s="560" t="s">
        <v>54</v>
      </c>
      <c r="K27" s="561"/>
      <c r="L27" s="453"/>
      <c r="M27" s="560" t="s">
        <v>54</v>
      </c>
      <c r="N27" s="561"/>
      <c r="O27" s="41"/>
    </row>
    <row r="28" spans="1:15" x14ac:dyDescent="0.2">
      <c r="A28" s="436"/>
      <c r="B28" s="10" t="s">
        <v>34</v>
      </c>
      <c r="C28" s="30"/>
      <c r="D28" s="35"/>
      <c r="E28" s="30"/>
      <c r="F28" s="35"/>
      <c r="G28" s="30"/>
      <c r="H28" s="31"/>
      <c r="I28" s="453"/>
      <c r="J28" s="536"/>
      <c r="K28" s="537"/>
      <c r="L28" s="453"/>
      <c r="M28" s="536"/>
      <c r="N28" s="537"/>
      <c r="O28" s="41"/>
    </row>
    <row r="29" spans="1:15" x14ac:dyDescent="0.2">
      <c r="A29" s="436"/>
      <c r="B29" s="10" t="s">
        <v>35</v>
      </c>
      <c r="D29" s="36"/>
      <c r="F29" s="36"/>
      <c r="H29" s="2"/>
      <c r="I29" s="453"/>
      <c r="J29" s="284" t="s">
        <v>48</v>
      </c>
      <c r="K29" s="563"/>
      <c r="L29" s="453"/>
      <c r="M29" s="284" t="s">
        <v>48</v>
      </c>
      <c r="N29" s="31"/>
      <c r="O29" s="41"/>
    </row>
    <row r="30" spans="1:15" x14ac:dyDescent="0.2">
      <c r="A30" s="436"/>
      <c r="B30" s="10" t="s">
        <v>36</v>
      </c>
      <c r="C30" s="30"/>
      <c r="D30" s="35"/>
      <c r="E30" s="30"/>
      <c r="F30" s="35"/>
      <c r="G30" s="30"/>
      <c r="H30" s="31"/>
      <c r="I30" s="453"/>
      <c r="J30" s="284" t="s">
        <v>49</v>
      </c>
      <c r="K30" s="564"/>
      <c r="L30" s="453"/>
      <c r="M30" s="284" t="s">
        <v>49</v>
      </c>
      <c r="N30" s="2"/>
      <c r="O30" s="41"/>
    </row>
    <row r="31" spans="1:15" x14ac:dyDescent="0.2">
      <c r="A31" s="436"/>
      <c r="B31" s="10" t="s">
        <v>37</v>
      </c>
      <c r="D31" s="36"/>
      <c r="F31" s="36"/>
      <c r="H31" s="2"/>
      <c r="I31" s="453"/>
      <c r="J31" s="285" t="s">
        <v>50</v>
      </c>
      <c r="K31" s="99"/>
      <c r="L31" s="453"/>
      <c r="M31" s="285" t="s">
        <v>50</v>
      </c>
      <c r="N31" s="100"/>
      <c r="O31" s="41"/>
    </row>
    <row r="32" spans="1:15" ht="15" customHeight="1" x14ac:dyDescent="0.2">
      <c r="A32" s="436"/>
      <c r="B32" s="10" t="s">
        <v>38</v>
      </c>
      <c r="C32" s="30"/>
      <c r="D32" s="35"/>
      <c r="E32" s="30"/>
      <c r="F32" s="35"/>
      <c r="G32" s="30"/>
      <c r="H32" s="31"/>
      <c r="I32" s="453"/>
      <c r="J32" s="284" t="s">
        <v>51</v>
      </c>
      <c r="K32" s="564"/>
      <c r="L32" s="453"/>
      <c r="M32" s="284" t="s">
        <v>51</v>
      </c>
      <c r="N32" s="2"/>
      <c r="O32" s="41"/>
    </row>
    <row r="33" spans="1:15" x14ac:dyDescent="0.2">
      <c r="A33" s="436"/>
      <c r="B33" s="10" t="s">
        <v>39</v>
      </c>
      <c r="D33" s="36"/>
      <c r="F33" s="36"/>
      <c r="H33" s="2"/>
      <c r="I33" s="453"/>
      <c r="J33" s="284" t="s">
        <v>49</v>
      </c>
      <c r="K33" s="563"/>
      <c r="L33" s="453"/>
      <c r="M33" s="284" t="s">
        <v>49</v>
      </c>
      <c r="N33" s="31"/>
      <c r="O33" s="41"/>
    </row>
    <row r="34" spans="1:15" ht="15" customHeight="1" thickBot="1" x14ac:dyDescent="0.25">
      <c r="A34" s="436"/>
      <c r="B34" s="11" t="s">
        <v>40</v>
      </c>
      <c r="C34" s="32"/>
      <c r="D34" s="37"/>
      <c r="E34" s="32"/>
      <c r="F34" s="37"/>
      <c r="G34" s="32"/>
      <c r="H34" s="33"/>
      <c r="I34" s="453"/>
      <c r="J34" s="284" t="s">
        <v>50</v>
      </c>
      <c r="K34" s="564"/>
      <c r="L34" s="453"/>
      <c r="M34" s="284" t="s">
        <v>50</v>
      </c>
      <c r="N34" s="2"/>
      <c r="O34" s="41"/>
    </row>
    <row r="35" spans="1:15" x14ac:dyDescent="0.2">
      <c r="A35" s="436"/>
      <c r="B35" s="539" t="s">
        <v>61</v>
      </c>
      <c r="C35" s="426" t="s">
        <v>376</v>
      </c>
      <c r="D35" s="424"/>
      <c r="E35" s="424"/>
      <c r="F35" s="424"/>
      <c r="G35" s="424"/>
      <c r="H35" s="425"/>
      <c r="I35" s="453"/>
      <c r="J35" s="560" t="s">
        <v>55</v>
      </c>
      <c r="K35" s="561"/>
      <c r="L35" s="453"/>
      <c r="M35" s="560" t="s">
        <v>55</v>
      </c>
      <c r="N35" s="561"/>
      <c r="O35" s="41"/>
    </row>
    <row r="36" spans="1:15" x14ac:dyDescent="0.2">
      <c r="A36" s="436"/>
      <c r="B36" s="540"/>
      <c r="C36" s="526" t="s">
        <v>429</v>
      </c>
      <c r="D36" s="527"/>
      <c r="E36" s="527" t="s">
        <v>428</v>
      </c>
      <c r="F36" s="527"/>
      <c r="G36" s="527" t="s">
        <v>431</v>
      </c>
      <c r="H36" s="528"/>
      <c r="I36" s="453"/>
      <c r="J36" s="536"/>
      <c r="K36" s="537"/>
      <c r="L36" s="453"/>
      <c r="M36" s="536"/>
      <c r="N36" s="537"/>
      <c r="O36" s="41"/>
    </row>
    <row r="37" spans="1:15" x14ac:dyDescent="0.2">
      <c r="A37" s="436"/>
      <c r="B37" s="540"/>
      <c r="C37" s="9" t="s">
        <v>425</v>
      </c>
      <c r="D37" s="165"/>
      <c r="E37" s="12" t="s">
        <v>263</v>
      </c>
      <c r="F37" s="165"/>
      <c r="G37" s="12" t="s">
        <v>5</v>
      </c>
      <c r="H37" s="164"/>
      <c r="I37" s="453"/>
      <c r="J37" s="284" t="s">
        <v>48</v>
      </c>
      <c r="K37" s="563"/>
      <c r="L37" s="453"/>
      <c r="M37" s="284" t="s">
        <v>48</v>
      </c>
      <c r="N37" s="31"/>
      <c r="O37" s="41"/>
    </row>
    <row r="38" spans="1:15" x14ac:dyDescent="0.2">
      <c r="A38" s="436"/>
      <c r="B38" s="540"/>
      <c r="C38" s="10" t="s">
        <v>6</v>
      </c>
      <c r="D38" s="30"/>
      <c r="E38" s="13" t="s">
        <v>5</v>
      </c>
      <c r="F38" s="30"/>
      <c r="G38" s="13" t="s">
        <v>6</v>
      </c>
      <c r="H38" s="31"/>
      <c r="I38" s="453"/>
      <c r="J38" s="284" t="s">
        <v>49</v>
      </c>
      <c r="K38" s="564"/>
      <c r="L38" s="453"/>
      <c r="M38" s="284" t="s">
        <v>49</v>
      </c>
      <c r="N38" s="2"/>
      <c r="O38" s="41"/>
    </row>
    <row r="39" spans="1:15" ht="16" thickBot="1" x14ac:dyDescent="0.25">
      <c r="A39" s="436"/>
      <c r="B39" s="540"/>
      <c r="C39" s="11" t="s">
        <v>424</v>
      </c>
      <c r="D39" s="4"/>
      <c r="E39" s="14" t="s">
        <v>7</v>
      </c>
      <c r="F39" s="4"/>
      <c r="G39" s="14" t="s">
        <v>7</v>
      </c>
      <c r="H39" s="5"/>
      <c r="I39" s="453"/>
      <c r="J39" s="285" t="s">
        <v>50</v>
      </c>
      <c r="K39" s="99"/>
      <c r="L39" s="453"/>
      <c r="M39" s="285" t="s">
        <v>50</v>
      </c>
      <c r="N39" s="100"/>
      <c r="O39" s="41"/>
    </row>
    <row r="40" spans="1:15" x14ac:dyDescent="0.2">
      <c r="A40" s="436"/>
      <c r="B40" s="540"/>
      <c r="C40" s="426" t="s">
        <v>12</v>
      </c>
      <c r="D40" s="424"/>
      <c r="E40" s="424"/>
      <c r="F40" s="424"/>
      <c r="G40" s="522" t="s">
        <v>2</v>
      </c>
      <c r="H40" s="323"/>
      <c r="I40" s="453"/>
      <c r="J40" s="284" t="s">
        <v>51</v>
      </c>
      <c r="K40" s="564"/>
      <c r="L40" s="453"/>
      <c r="M40" s="284" t="s">
        <v>51</v>
      </c>
      <c r="N40" s="2"/>
      <c r="O40" s="41"/>
    </row>
    <row r="41" spans="1:15" x14ac:dyDescent="0.2">
      <c r="A41" s="436"/>
      <c r="B41" s="540"/>
      <c r="C41" s="518" t="s">
        <v>426</v>
      </c>
      <c r="D41" s="519"/>
      <c r="E41" s="519" t="s">
        <v>427</v>
      </c>
      <c r="F41" s="519"/>
      <c r="G41" s="536"/>
      <c r="H41" s="537"/>
      <c r="I41" s="453"/>
      <c r="J41" s="284" t="s">
        <v>49</v>
      </c>
      <c r="K41" s="563"/>
      <c r="L41" s="453"/>
      <c r="M41" s="284" t="s">
        <v>49</v>
      </c>
      <c r="N41" s="31"/>
      <c r="O41" s="41"/>
    </row>
    <row r="42" spans="1:15" ht="16" thickBot="1" x14ac:dyDescent="0.25">
      <c r="A42" s="436"/>
      <c r="B42" s="540"/>
      <c r="C42" s="10" t="s">
        <v>425</v>
      </c>
      <c r="E42" s="13" t="s">
        <v>425</v>
      </c>
      <c r="G42" s="10" t="s">
        <v>18</v>
      </c>
      <c r="H42" s="31"/>
      <c r="I42" s="454"/>
      <c r="J42" s="287" t="s">
        <v>50</v>
      </c>
      <c r="K42" s="4"/>
      <c r="L42" s="454"/>
      <c r="M42" s="287" t="s">
        <v>50</v>
      </c>
      <c r="N42" s="5"/>
      <c r="O42" s="41"/>
    </row>
    <row r="43" spans="1:15" x14ac:dyDescent="0.2">
      <c r="A43" s="436"/>
      <c r="B43" s="540"/>
      <c r="C43" s="10" t="s">
        <v>6</v>
      </c>
      <c r="D43" s="30"/>
      <c r="E43" s="13" t="s">
        <v>6</v>
      </c>
      <c r="F43" s="30"/>
      <c r="G43" s="10" t="s">
        <v>354</v>
      </c>
      <c r="H43" s="2"/>
      <c r="I43" s="452" t="s">
        <v>379</v>
      </c>
      <c r="J43" s="522" t="s">
        <v>56</v>
      </c>
      <c r="K43" s="323"/>
      <c r="L43" s="452" t="s">
        <v>64</v>
      </c>
      <c r="M43" s="522" t="s">
        <v>56</v>
      </c>
      <c r="N43" s="323"/>
      <c r="O43" s="41"/>
    </row>
    <row r="44" spans="1:15" ht="16" thickBot="1" x14ac:dyDescent="0.25">
      <c r="A44" s="436"/>
      <c r="B44" s="540"/>
      <c r="C44" s="11" t="s">
        <v>7</v>
      </c>
      <c r="D44" s="4"/>
      <c r="E44" s="14" t="s">
        <v>7</v>
      </c>
      <c r="F44" s="4"/>
      <c r="G44" s="11" t="s">
        <v>353</v>
      </c>
      <c r="H44" s="33"/>
      <c r="I44" s="453"/>
      <c r="J44" s="536"/>
      <c r="K44" s="537"/>
      <c r="L44" s="453"/>
      <c r="M44" s="536"/>
      <c r="N44" s="537"/>
      <c r="O44" s="41"/>
    </row>
    <row r="45" spans="1:15" ht="16" thickBot="1" x14ac:dyDescent="0.25">
      <c r="A45" s="436"/>
      <c r="B45" s="540"/>
      <c r="C45" s="520" t="s">
        <v>0</v>
      </c>
      <c r="D45" s="521"/>
      <c r="E45" s="139" t="s">
        <v>267</v>
      </c>
      <c r="F45" s="135"/>
      <c r="G45" s="139" t="s">
        <v>268</v>
      </c>
      <c r="H45" s="134"/>
      <c r="I45" s="453"/>
      <c r="J45" s="284" t="s">
        <v>48</v>
      </c>
      <c r="K45" s="563"/>
      <c r="L45" s="453"/>
      <c r="M45" s="284" t="s">
        <v>48</v>
      </c>
      <c r="N45" s="31"/>
      <c r="O45" s="41"/>
    </row>
    <row r="46" spans="1:15" x14ac:dyDescent="0.2">
      <c r="A46" s="436"/>
      <c r="B46" s="540"/>
      <c r="C46" s="522" t="s">
        <v>262</v>
      </c>
      <c r="D46" s="322"/>
      <c r="E46" s="322"/>
      <c r="F46" s="322"/>
      <c r="G46" s="322"/>
      <c r="H46" s="323"/>
      <c r="I46" s="453"/>
      <c r="J46" s="284" t="s">
        <v>49</v>
      </c>
      <c r="K46" s="564"/>
      <c r="L46" s="453"/>
      <c r="M46" s="284" t="s">
        <v>49</v>
      </c>
      <c r="N46" s="2"/>
      <c r="O46" s="41"/>
    </row>
    <row r="47" spans="1:15" x14ac:dyDescent="0.2">
      <c r="A47" s="436"/>
      <c r="B47" s="540"/>
      <c r="C47" s="136" t="s">
        <v>263</v>
      </c>
      <c r="D47" s="137" t="s">
        <v>132</v>
      </c>
      <c r="E47" s="137" t="s">
        <v>264</v>
      </c>
      <c r="F47" s="137" t="s">
        <v>22</v>
      </c>
      <c r="G47" s="137" t="s">
        <v>259</v>
      </c>
      <c r="H47" s="138" t="s">
        <v>97</v>
      </c>
      <c r="I47" s="453"/>
      <c r="J47" s="285" t="s">
        <v>50</v>
      </c>
      <c r="K47" s="99"/>
      <c r="L47" s="453"/>
      <c r="M47" s="285" t="s">
        <v>50</v>
      </c>
      <c r="N47" s="100"/>
      <c r="O47" s="41"/>
    </row>
    <row r="48" spans="1:15" ht="16" thickBot="1" x14ac:dyDescent="0.25">
      <c r="A48" s="436"/>
      <c r="B48" s="540"/>
      <c r="C48" s="1"/>
      <c r="D48" s="30"/>
      <c r="F48" s="30"/>
      <c r="H48" s="31"/>
      <c r="I48" s="453"/>
      <c r="J48" s="284" t="s">
        <v>51</v>
      </c>
      <c r="K48" s="564"/>
      <c r="L48" s="453"/>
      <c r="M48" s="284" t="s">
        <v>51</v>
      </c>
      <c r="N48" s="2"/>
      <c r="O48" s="41"/>
    </row>
    <row r="49" spans="1:15" x14ac:dyDescent="0.2">
      <c r="A49" s="436"/>
      <c r="B49" s="540"/>
      <c r="C49" s="522" t="s">
        <v>265</v>
      </c>
      <c r="D49" s="322"/>
      <c r="E49" s="322"/>
      <c r="F49" s="322"/>
      <c r="G49" s="322"/>
      <c r="H49" s="323"/>
      <c r="I49" s="453"/>
      <c r="J49" s="284" t="s">
        <v>49</v>
      </c>
      <c r="K49" s="563"/>
      <c r="L49" s="453"/>
      <c r="M49" s="284" t="s">
        <v>49</v>
      </c>
      <c r="N49" s="31"/>
      <c r="O49" s="41"/>
    </row>
    <row r="50" spans="1:15" x14ac:dyDescent="0.2">
      <c r="A50" s="436"/>
      <c r="B50" s="540"/>
      <c r="C50" s="136" t="s">
        <v>263</v>
      </c>
      <c r="D50" s="137" t="s">
        <v>132</v>
      </c>
      <c r="E50" s="137" t="s">
        <v>264</v>
      </c>
      <c r="F50" s="137" t="s">
        <v>22</v>
      </c>
      <c r="G50" s="137" t="s">
        <v>259</v>
      </c>
      <c r="H50" s="138" t="s">
        <v>97</v>
      </c>
      <c r="I50" s="453"/>
      <c r="J50" s="284" t="s">
        <v>50</v>
      </c>
      <c r="K50" s="564"/>
      <c r="L50" s="453"/>
      <c r="M50" s="284" t="s">
        <v>50</v>
      </c>
      <c r="N50" s="2"/>
      <c r="O50" s="41"/>
    </row>
    <row r="51" spans="1:15" ht="16" thickBot="1" x14ac:dyDescent="0.25">
      <c r="A51" s="436"/>
      <c r="B51" s="540"/>
      <c r="C51" s="160"/>
      <c r="D51" s="30"/>
      <c r="F51" s="30"/>
      <c r="H51" s="31"/>
      <c r="I51" s="453"/>
      <c r="J51" s="560" t="s">
        <v>57</v>
      </c>
      <c r="K51" s="561"/>
      <c r="L51" s="453"/>
      <c r="M51" s="560" t="s">
        <v>57</v>
      </c>
      <c r="N51" s="561"/>
      <c r="O51" s="41"/>
    </row>
    <row r="52" spans="1:15" ht="15" customHeight="1" x14ac:dyDescent="0.2">
      <c r="A52" s="436"/>
      <c r="B52" s="540"/>
      <c r="C52" s="426" t="s">
        <v>1</v>
      </c>
      <c r="D52" s="424"/>
      <c r="E52" s="424"/>
      <c r="F52" s="424"/>
      <c r="G52" s="424"/>
      <c r="H52" s="425"/>
      <c r="I52" s="453"/>
      <c r="J52" s="536"/>
      <c r="K52" s="537"/>
      <c r="L52" s="453"/>
      <c r="M52" s="536"/>
      <c r="N52" s="537"/>
      <c r="O52" s="41"/>
    </row>
    <row r="53" spans="1:15" x14ac:dyDescent="0.2">
      <c r="A53" s="436"/>
      <c r="B53" s="540"/>
      <c r="C53" s="136" t="s">
        <v>266</v>
      </c>
      <c r="D53" s="137" t="s">
        <v>45</v>
      </c>
      <c r="E53" s="137" t="s">
        <v>15</v>
      </c>
      <c r="F53" s="137" t="s">
        <v>14</v>
      </c>
      <c r="G53" s="137" t="s">
        <v>42</v>
      </c>
      <c r="H53" s="138" t="s">
        <v>44</v>
      </c>
      <c r="I53" s="453"/>
      <c r="J53" s="284" t="s">
        <v>48</v>
      </c>
      <c r="K53" s="563"/>
      <c r="L53" s="453"/>
      <c r="M53" s="284" t="s">
        <v>48</v>
      </c>
      <c r="N53" s="31"/>
      <c r="O53" s="41"/>
    </row>
    <row r="54" spans="1:15" ht="16" thickBot="1" x14ac:dyDescent="0.25">
      <c r="A54" s="436"/>
      <c r="B54" s="541"/>
      <c r="C54" s="3"/>
      <c r="D54" s="32"/>
      <c r="E54" s="4"/>
      <c r="F54" s="32"/>
      <c r="G54" s="4"/>
      <c r="H54" s="33"/>
      <c r="I54" s="453"/>
      <c r="J54" s="284" t="s">
        <v>49</v>
      </c>
      <c r="K54" s="564"/>
      <c r="L54" s="453"/>
      <c r="M54" s="284" t="s">
        <v>49</v>
      </c>
      <c r="N54" s="2"/>
      <c r="O54" s="41"/>
    </row>
    <row r="55" spans="1:15" x14ac:dyDescent="0.2">
      <c r="A55" s="436"/>
      <c r="B55" s="426" t="s">
        <v>23</v>
      </c>
      <c r="C55" s="424"/>
      <c r="D55" s="424"/>
      <c r="E55" s="424"/>
      <c r="F55" s="424"/>
      <c r="G55" s="424"/>
      <c r="H55" s="425"/>
      <c r="I55" s="453"/>
      <c r="J55" s="285" t="s">
        <v>50</v>
      </c>
      <c r="K55" s="99"/>
      <c r="L55" s="453"/>
      <c r="M55" s="285" t="s">
        <v>50</v>
      </c>
      <c r="N55" s="100"/>
      <c r="O55" s="41"/>
    </row>
    <row r="56" spans="1:15" x14ac:dyDescent="0.2">
      <c r="A56" s="436"/>
      <c r="B56" s="136" t="s">
        <v>24</v>
      </c>
      <c r="C56" s="137" t="s">
        <v>25</v>
      </c>
      <c r="D56" s="137" t="s">
        <v>28</v>
      </c>
      <c r="E56" s="137" t="s">
        <v>26</v>
      </c>
      <c r="F56" s="137" t="s">
        <v>30</v>
      </c>
      <c r="G56" s="137" t="s">
        <v>27</v>
      </c>
      <c r="H56" s="138" t="s">
        <v>29</v>
      </c>
      <c r="I56" s="453"/>
      <c r="J56" s="284" t="s">
        <v>51</v>
      </c>
      <c r="K56" s="564"/>
      <c r="L56" s="453"/>
      <c r="M56" s="284" t="s">
        <v>51</v>
      </c>
      <c r="N56" s="2"/>
      <c r="O56" s="41"/>
    </row>
    <row r="57" spans="1:15" x14ac:dyDescent="0.2">
      <c r="A57" s="436"/>
      <c r="B57" s="9" t="s">
        <v>31</v>
      </c>
      <c r="D57" s="34"/>
      <c r="F57" s="34"/>
      <c r="H57" s="2"/>
      <c r="I57" s="453"/>
      <c r="J57" s="284" t="s">
        <v>49</v>
      </c>
      <c r="K57" s="563"/>
      <c r="L57" s="453"/>
      <c r="M57" s="284" t="s">
        <v>49</v>
      </c>
      <c r="N57" s="31"/>
      <c r="O57" s="41"/>
    </row>
    <row r="58" spans="1:15" x14ac:dyDescent="0.2">
      <c r="A58" s="436"/>
      <c r="B58" s="10" t="s">
        <v>32</v>
      </c>
      <c r="C58" s="30"/>
      <c r="D58" s="35"/>
      <c r="E58" s="30"/>
      <c r="F58" s="35"/>
      <c r="G58" s="30"/>
      <c r="H58" s="31"/>
      <c r="I58" s="453"/>
      <c r="J58" s="284" t="s">
        <v>50</v>
      </c>
      <c r="K58" s="564"/>
      <c r="L58" s="453"/>
      <c r="M58" s="284" t="s">
        <v>50</v>
      </c>
      <c r="N58" s="2"/>
      <c r="O58" s="41"/>
    </row>
    <row r="59" spans="1:15" x14ac:dyDescent="0.2">
      <c r="A59" s="436"/>
      <c r="B59" s="10" t="s">
        <v>33</v>
      </c>
      <c r="D59" s="36"/>
      <c r="F59" s="36"/>
      <c r="H59" s="2"/>
      <c r="I59" s="453"/>
      <c r="J59" s="560" t="s">
        <v>54</v>
      </c>
      <c r="K59" s="561"/>
      <c r="L59" s="453"/>
      <c r="M59" s="560" t="s">
        <v>54</v>
      </c>
      <c r="N59" s="561"/>
      <c r="O59" s="41"/>
    </row>
    <row r="60" spans="1:15" x14ac:dyDescent="0.2">
      <c r="A60" s="436"/>
      <c r="B60" s="10" t="s">
        <v>34</v>
      </c>
      <c r="C60" s="30"/>
      <c r="D60" s="35"/>
      <c r="E60" s="30"/>
      <c r="F60" s="35"/>
      <c r="G60" s="30"/>
      <c r="H60" s="31"/>
      <c r="I60" s="453"/>
      <c r="J60" s="536"/>
      <c r="K60" s="537"/>
      <c r="L60" s="453"/>
      <c r="M60" s="536"/>
      <c r="N60" s="537"/>
      <c r="O60" s="41"/>
    </row>
    <row r="61" spans="1:15" x14ac:dyDescent="0.2">
      <c r="A61" s="436"/>
      <c r="B61" s="10" t="s">
        <v>35</v>
      </c>
      <c r="D61" s="36"/>
      <c r="F61" s="36"/>
      <c r="H61" s="2"/>
      <c r="I61" s="453"/>
      <c r="J61" s="284" t="s">
        <v>48</v>
      </c>
      <c r="K61" s="563"/>
      <c r="L61" s="453"/>
      <c r="M61" s="284" t="s">
        <v>48</v>
      </c>
      <c r="N61" s="31"/>
      <c r="O61" s="41"/>
    </row>
    <row r="62" spans="1:15" ht="15" customHeight="1" x14ac:dyDescent="0.2">
      <c r="A62" s="436"/>
      <c r="B62" s="10" t="s">
        <v>36</v>
      </c>
      <c r="C62" s="30"/>
      <c r="D62" s="35"/>
      <c r="E62" s="30"/>
      <c r="F62" s="35"/>
      <c r="G62" s="30"/>
      <c r="H62" s="31"/>
      <c r="I62" s="453"/>
      <c r="J62" s="284" t="s">
        <v>49</v>
      </c>
      <c r="K62" s="564"/>
      <c r="L62" s="453"/>
      <c r="M62" s="284" t="s">
        <v>49</v>
      </c>
      <c r="N62" s="2"/>
      <c r="O62" s="41"/>
    </row>
    <row r="63" spans="1:15" x14ac:dyDescent="0.2">
      <c r="A63" s="436"/>
      <c r="B63" s="10" t="s">
        <v>37</v>
      </c>
      <c r="D63" s="36"/>
      <c r="F63" s="36"/>
      <c r="H63" s="2"/>
      <c r="I63" s="453"/>
      <c r="J63" s="285" t="s">
        <v>50</v>
      </c>
      <c r="K63" s="99"/>
      <c r="L63" s="453"/>
      <c r="M63" s="285" t="s">
        <v>50</v>
      </c>
      <c r="N63" s="100"/>
      <c r="O63" s="41"/>
    </row>
    <row r="64" spans="1:15" x14ac:dyDescent="0.2">
      <c r="A64" s="436"/>
      <c r="B64" s="10" t="s">
        <v>38</v>
      </c>
      <c r="C64" s="30"/>
      <c r="D64" s="35"/>
      <c r="E64" s="30"/>
      <c r="F64" s="35"/>
      <c r="G64" s="30"/>
      <c r="H64" s="31"/>
      <c r="I64" s="453"/>
      <c r="J64" s="284" t="s">
        <v>51</v>
      </c>
      <c r="K64" s="564"/>
      <c r="L64" s="453"/>
      <c r="M64" s="284" t="s">
        <v>51</v>
      </c>
      <c r="N64" s="2"/>
      <c r="O64" s="41"/>
    </row>
    <row r="65" spans="1:15" x14ac:dyDescent="0.2">
      <c r="A65" s="436"/>
      <c r="B65" s="10" t="s">
        <v>39</v>
      </c>
      <c r="D65" s="36"/>
      <c r="F65" s="36"/>
      <c r="H65" s="2"/>
      <c r="I65" s="453"/>
      <c r="J65" s="284" t="s">
        <v>49</v>
      </c>
      <c r="K65" s="563"/>
      <c r="L65" s="453"/>
      <c r="M65" s="284" t="s">
        <v>49</v>
      </c>
      <c r="N65" s="31"/>
      <c r="O65" s="41"/>
    </row>
    <row r="66" spans="1:15" ht="15" customHeight="1" thickBot="1" x14ac:dyDescent="0.25">
      <c r="A66" s="436"/>
      <c r="B66" s="11" t="s">
        <v>40</v>
      </c>
      <c r="C66" s="32"/>
      <c r="D66" s="37"/>
      <c r="E66" s="32"/>
      <c r="F66" s="37"/>
      <c r="G66" s="32"/>
      <c r="H66" s="33"/>
      <c r="I66" s="453"/>
      <c r="J66" s="284" t="s">
        <v>50</v>
      </c>
      <c r="K66" s="564"/>
      <c r="L66" s="453"/>
      <c r="M66" s="284" t="s">
        <v>50</v>
      </c>
      <c r="N66" s="2"/>
      <c r="O66" s="41"/>
    </row>
    <row r="67" spans="1:15" x14ac:dyDescent="0.2">
      <c r="A67" s="436"/>
      <c r="B67" s="539" t="s">
        <v>62</v>
      </c>
      <c r="C67" s="426" t="s">
        <v>376</v>
      </c>
      <c r="D67" s="424"/>
      <c r="E67" s="424"/>
      <c r="F67" s="424"/>
      <c r="G67" s="424"/>
      <c r="H67" s="425"/>
      <c r="I67" s="453"/>
      <c r="J67" s="560" t="s">
        <v>55</v>
      </c>
      <c r="K67" s="561"/>
      <c r="L67" s="453"/>
      <c r="M67" s="560" t="s">
        <v>55</v>
      </c>
      <c r="N67" s="561"/>
      <c r="O67" s="41"/>
    </row>
    <row r="68" spans="1:15" x14ac:dyDescent="0.2">
      <c r="A68" s="436"/>
      <c r="B68" s="540"/>
      <c r="C68" s="526" t="s">
        <v>429</v>
      </c>
      <c r="D68" s="527"/>
      <c r="E68" s="527" t="s">
        <v>428</v>
      </c>
      <c r="F68" s="527"/>
      <c r="G68" s="527" t="s">
        <v>431</v>
      </c>
      <c r="H68" s="528"/>
      <c r="I68" s="453"/>
      <c r="J68" s="536"/>
      <c r="K68" s="537"/>
      <c r="L68" s="453"/>
      <c r="M68" s="536"/>
      <c r="N68" s="537"/>
      <c r="O68" s="41"/>
    </row>
    <row r="69" spans="1:15" x14ac:dyDescent="0.2">
      <c r="A69" s="40"/>
      <c r="B69" s="540"/>
      <c r="C69" s="9" t="s">
        <v>425</v>
      </c>
      <c r="D69" s="165"/>
      <c r="E69" s="12" t="s">
        <v>263</v>
      </c>
      <c r="F69" s="165"/>
      <c r="G69" s="12" t="s">
        <v>5</v>
      </c>
      <c r="H69" s="164"/>
      <c r="I69" s="453"/>
      <c r="J69" s="284" t="s">
        <v>48</v>
      </c>
      <c r="K69" s="563"/>
      <c r="L69" s="453"/>
      <c r="M69" s="284" t="s">
        <v>48</v>
      </c>
      <c r="N69" s="31"/>
      <c r="O69" s="41"/>
    </row>
    <row r="70" spans="1:15" x14ac:dyDescent="0.2">
      <c r="A70" s="40"/>
      <c r="B70" s="540"/>
      <c r="C70" s="10" t="s">
        <v>6</v>
      </c>
      <c r="D70" s="30"/>
      <c r="E70" s="13" t="s">
        <v>5</v>
      </c>
      <c r="F70" s="30"/>
      <c r="G70" s="13" t="s">
        <v>6</v>
      </c>
      <c r="H70" s="31"/>
      <c r="I70" s="453"/>
      <c r="J70" s="284" t="s">
        <v>49</v>
      </c>
      <c r="K70" s="564"/>
      <c r="L70" s="453"/>
      <c r="M70" s="284" t="s">
        <v>49</v>
      </c>
      <c r="N70" s="2"/>
      <c r="O70" s="41"/>
    </row>
    <row r="71" spans="1:15" ht="16" thickBot="1" x14ac:dyDescent="0.25">
      <c r="A71" s="40"/>
      <c r="B71" s="540"/>
      <c r="C71" s="11" t="s">
        <v>424</v>
      </c>
      <c r="D71" s="4"/>
      <c r="E71" s="14" t="s">
        <v>7</v>
      </c>
      <c r="F71" s="4"/>
      <c r="G71" s="14" t="s">
        <v>7</v>
      </c>
      <c r="H71" s="5"/>
      <c r="I71" s="453"/>
      <c r="J71" s="285" t="s">
        <v>50</v>
      </c>
      <c r="K71" s="99"/>
      <c r="L71" s="453"/>
      <c r="M71" s="285" t="s">
        <v>50</v>
      </c>
      <c r="N71" s="100"/>
      <c r="O71" s="41"/>
    </row>
    <row r="72" spans="1:15" x14ac:dyDescent="0.2">
      <c r="A72" s="40"/>
      <c r="B72" s="540"/>
      <c r="C72" s="426" t="s">
        <v>12</v>
      </c>
      <c r="D72" s="424"/>
      <c r="E72" s="424"/>
      <c r="F72" s="424"/>
      <c r="G72" s="522" t="s">
        <v>2</v>
      </c>
      <c r="H72" s="323"/>
      <c r="I72" s="453"/>
      <c r="J72" s="284" t="s">
        <v>51</v>
      </c>
      <c r="K72" s="564"/>
      <c r="L72" s="453"/>
      <c r="M72" s="284" t="s">
        <v>51</v>
      </c>
      <c r="N72" s="2"/>
      <c r="O72" s="41"/>
    </row>
    <row r="73" spans="1:15" x14ac:dyDescent="0.2">
      <c r="A73" s="40"/>
      <c r="B73" s="540"/>
      <c r="C73" s="518" t="s">
        <v>426</v>
      </c>
      <c r="D73" s="519"/>
      <c r="E73" s="519" t="s">
        <v>427</v>
      </c>
      <c r="F73" s="519"/>
      <c r="G73" s="536"/>
      <c r="H73" s="537"/>
      <c r="I73" s="453"/>
      <c r="J73" s="284" t="s">
        <v>49</v>
      </c>
      <c r="K73" s="563"/>
      <c r="L73" s="453"/>
      <c r="M73" s="284" t="s">
        <v>49</v>
      </c>
      <c r="N73" s="31"/>
      <c r="O73" s="41"/>
    </row>
    <row r="74" spans="1:15" ht="16" thickBot="1" x14ac:dyDescent="0.25">
      <c r="A74" s="40"/>
      <c r="B74" s="540"/>
      <c r="C74" s="10" t="s">
        <v>425</v>
      </c>
      <c r="E74" s="13" t="s">
        <v>425</v>
      </c>
      <c r="G74" s="10" t="s">
        <v>18</v>
      </c>
      <c r="H74" s="31"/>
      <c r="I74" s="454"/>
      <c r="J74" s="287" t="s">
        <v>50</v>
      </c>
      <c r="K74" s="4"/>
      <c r="L74" s="454"/>
      <c r="M74" s="287" t="s">
        <v>50</v>
      </c>
      <c r="N74" s="5"/>
      <c r="O74" s="41"/>
    </row>
    <row r="75" spans="1:15" x14ac:dyDescent="0.2">
      <c r="A75" s="40"/>
      <c r="B75" s="540"/>
      <c r="C75" s="10" t="s">
        <v>6</v>
      </c>
      <c r="D75" s="30"/>
      <c r="E75" s="13" t="s">
        <v>6</v>
      </c>
      <c r="F75" s="30"/>
      <c r="G75" s="10" t="s">
        <v>354</v>
      </c>
      <c r="H75" s="2"/>
      <c r="I75" s="38"/>
      <c r="J75" s="38"/>
      <c r="K75" s="38"/>
      <c r="L75" s="38"/>
      <c r="M75" s="38"/>
      <c r="N75" s="38"/>
      <c r="O75" s="41"/>
    </row>
    <row r="76" spans="1:15" ht="16" thickBot="1" x14ac:dyDescent="0.25">
      <c r="A76" s="40"/>
      <c r="B76" s="540"/>
      <c r="C76" s="11" t="s">
        <v>7</v>
      </c>
      <c r="D76" s="4"/>
      <c r="E76" s="14" t="s">
        <v>7</v>
      </c>
      <c r="F76" s="4"/>
      <c r="G76" s="11" t="s">
        <v>353</v>
      </c>
      <c r="H76" s="33"/>
      <c r="I76" s="38"/>
      <c r="J76" s="38"/>
      <c r="K76" s="38"/>
      <c r="L76" s="38"/>
      <c r="M76" s="38"/>
      <c r="N76" s="38"/>
      <c r="O76" s="41"/>
    </row>
    <row r="77" spans="1:15" ht="16" thickBot="1" x14ac:dyDescent="0.25">
      <c r="A77" s="40"/>
      <c r="B77" s="540"/>
      <c r="C77" s="520" t="s">
        <v>0</v>
      </c>
      <c r="D77" s="521"/>
      <c r="E77" s="139" t="s">
        <v>267</v>
      </c>
      <c r="F77" s="135"/>
      <c r="G77" s="139" t="s">
        <v>268</v>
      </c>
      <c r="H77" s="134"/>
      <c r="I77" s="38"/>
      <c r="J77" s="38"/>
      <c r="K77" s="38"/>
      <c r="L77" s="38"/>
      <c r="M77" s="38"/>
      <c r="N77" s="38"/>
      <c r="O77" s="41"/>
    </row>
    <row r="78" spans="1:15" x14ac:dyDescent="0.2">
      <c r="A78" s="40"/>
      <c r="B78" s="540"/>
      <c r="C78" s="522" t="s">
        <v>262</v>
      </c>
      <c r="D78" s="322"/>
      <c r="E78" s="322"/>
      <c r="F78" s="322"/>
      <c r="G78" s="322"/>
      <c r="H78" s="323"/>
      <c r="I78" s="38"/>
      <c r="J78" s="38"/>
      <c r="K78" s="38"/>
      <c r="L78" s="38"/>
      <c r="M78" s="38"/>
      <c r="N78" s="38"/>
      <c r="O78" s="41"/>
    </row>
    <row r="79" spans="1:15" x14ac:dyDescent="0.2">
      <c r="A79" s="40"/>
      <c r="B79" s="540"/>
      <c r="C79" s="136" t="s">
        <v>263</v>
      </c>
      <c r="D79" s="137" t="s">
        <v>132</v>
      </c>
      <c r="E79" s="137" t="s">
        <v>264</v>
      </c>
      <c r="F79" s="137" t="s">
        <v>22</v>
      </c>
      <c r="G79" s="137" t="s">
        <v>259</v>
      </c>
      <c r="H79" s="138" t="s">
        <v>97</v>
      </c>
      <c r="I79" s="38"/>
      <c r="J79" s="38"/>
      <c r="K79" s="38"/>
      <c r="L79" s="38"/>
      <c r="M79" s="38"/>
      <c r="N79" s="38"/>
      <c r="O79" s="41"/>
    </row>
    <row r="80" spans="1:15" ht="16" thickBot="1" x14ac:dyDescent="0.25">
      <c r="A80" s="40"/>
      <c r="B80" s="540"/>
      <c r="C80" s="1"/>
      <c r="D80" s="30"/>
      <c r="F80" s="30"/>
      <c r="H80" s="31"/>
      <c r="I80" s="38"/>
      <c r="J80" s="38"/>
      <c r="K80" s="38"/>
      <c r="L80" s="38"/>
      <c r="M80" s="38"/>
      <c r="N80" s="38"/>
      <c r="O80" s="41"/>
    </row>
    <row r="81" spans="1:15" x14ac:dyDescent="0.2">
      <c r="A81" s="40"/>
      <c r="B81" s="540"/>
      <c r="C81" s="522" t="s">
        <v>265</v>
      </c>
      <c r="D81" s="322"/>
      <c r="E81" s="322"/>
      <c r="F81" s="322"/>
      <c r="G81" s="322"/>
      <c r="H81" s="323"/>
      <c r="I81" s="38"/>
      <c r="J81" s="38"/>
      <c r="K81" s="38"/>
      <c r="L81" s="38"/>
      <c r="M81" s="38"/>
      <c r="N81" s="38"/>
      <c r="O81" s="41"/>
    </row>
    <row r="82" spans="1:15" x14ac:dyDescent="0.2">
      <c r="A82" s="40"/>
      <c r="B82" s="540"/>
      <c r="C82" s="136" t="s">
        <v>263</v>
      </c>
      <c r="D82" s="137" t="s">
        <v>132</v>
      </c>
      <c r="E82" s="137" t="s">
        <v>264</v>
      </c>
      <c r="F82" s="137" t="s">
        <v>22</v>
      </c>
      <c r="G82" s="137" t="s">
        <v>259</v>
      </c>
      <c r="H82" s="138" t="s">
        <v>97</v>
      </c>
      <c r="I82" s="38"/>
      <c r="J82" s="38"/>
      <c r="K82" s="38"/>
      <c r="L82" s="38"/>
      <c r="M82" s="38"/>
      <c r="N82" s="38"/>
      <c r="O82" s="41"/>
    </row>
    <row r="83" spans="1:15" ht="16" thickBot="1" x14ac:dyDescent="0.25">
      <c r="A83" s="40"/>
      <c r="B83" s="540"/>
      <c r="C83" s="160"/>
      <c r="D83" s="30"/>
      <c r="F83" s="30"/>
      <c r="H83" s="31"/>
      <c r="I83" s="38"/>
      <c r="J83" s="38"/>
      <c r="K83" s="38"/>
      <c r="L83" s="38"/>
      <c r="M83" s="38"/>
      <c r="N83" s="38"/>
      <c r="O83" s="41"/>
    </row>
    <row r="84" spans="1:15" x14ac:dyDescent="0.2">
      <c r="A84" s="40"/>
      <c r="B84" s="540"/>
      <c r="C84" s="426" t="s">
        <v>1</v>
      </c>
      <c r="D84" s="424"/>
      <c r="E84" s="424"/>
      <c r="F84" s="424"/>
      <c r="G84" s="424"/>
      <c r="H84" s="425"/>
      <c r="I84" s="38"/>
      <c r="J84" s="38"/>
      <c r="K84" s="38"/>
      <c r="L84" s="38"/>
      <c r="M84" s="38"/>
      <c r="N84" s="38"/>
      <c r="O84" s="41"/>
    </row>
    <row r="85" spans="1:15" x14ac:dyDescent="0.2">
      <c r="A85" s="40"/>
      <c r="B85" s="540"/>
      <c r="C85" s="136" t="s">
        <v>266</v>
      </c>
      <c r="D85" s="137" t="s">
        <v>45</v>
      </c>
      <c r="E85" s="137" t="s">
        <v>15</v>
      </c>
      <c r="F85" s="137" t="s">
        <v>14</v>
      </c>
      <c r="G85" s="137" t="s">
        <v>42</v>
      </c>
      <c r="H85" s="138" t="s">
        <v>44</v>
      </c>
      <c r="I85" s="38"/>
      <c r="J85" s="38"/>
      <c r="K85" s="38"/>
      <c r="L85" s="38"/>
      <c r="M85" s="38"/>
      <c r="N85" s="38"/>
      <c r="O85" s="41"/>
    </row>
    <row r="86" spans="1:15" ht="16" thickBot="1" x14ac:dyDescent="0.25">
      <c r="A86" s="40"/>
      <c r="B86" s="541"/>
      <c r="C86" s="3"/>
      <c r="D86" s="32"/>
      <c r="E86" s="4"/>
      <c r="F86" s="32"/>
      <c r="G86" s="4"/>
      <c r="H86" s="33"/>
      <c r="I86" s="38"/>
      <c r="J86" s="38"/>
      <c r="K86" s="38"/>
      <c r="L86" s="38"/>
      <c r="M86" s="38"/>
      <c r="N86" s="38"/>
      <c r="O86" s="41"/>
    </row>
    <row r="87" spans="1:15" x14ac:dyDescent="0.2">
      <c r="A87" s="40"/>
      <c r="B87" s="426" t="s">
        <v>23</v>
      </c>
      <c r="C87" s="424"/>
      <c r="D87" s="424"/>
      <c r="E87" s="424"/>
      <c r="F87" s="424"/>
      <c r="G87" s="424"/>
      <c r="H87" s="425"/>
      <c r="I87" s="38"/>
      <c r="J87" s="38"/>
      <c r="K87" s="38"/>
      <c r="L87" s="38"/>
      <c r="M87" s="38"/>
      <c r="N87" s="38"/>
      <c r="O87" s="41"/>
    </row>
    <row r="88" spans="1:15" x14ac:dyDescent="0.2">
      <c r="A88" s="40"/>
      <c r="B88" s="136" t="s">
        <v>24</v>
      </c>
      <c r="C88" s="137" t="s">
        <v>25</v>
      </c>
      <c r="D88" s="137" t="s">
        <v>28</v>
      </c>
      <c r="E88" s="137" t="s">
        <v>26</v>
      </c>
      <c r="F88" s="137" t="s">
        <v>30</v>
      </c>
      <c r="G88" s="137" t="s">
        <v>27</v>
      </c>
      <c r="H88" s="138" t="s">
        <v>29</v>
      </c>
      <c r="I88" s="38"/>
      <c r="J88" s="38"/>
      <c r="K88" s="38"/>
      <c r="L88" s="38"/>
      <c r="M88" s="38"/>
      <c r="N88" s="38"/>
      <c r="O88" s="41"/>
    </row>
    <row r="89" spans="1:15" x14ac:dyDescent="0.2">
      <c r="A89" s="40"/>
      <c r="B89" s="9" t="s">
        <v>31</v>
      </c>
      <c r="D89" s="34"/>
      <c r="F89" s="34"/>
      <c r="H89" s="2"/>
      <c r="I89" s="38"/>
      <c r="J89" s="38"/>
      <c r="K89" s="38"/>
      <c r="L89" s="38"/>
      <c r="M89" s="38"/>
      <c r="N89" s="38"/>
      <c r="O89" s="41"/>
    </row>
    <row r="90" spans="1:15" x14ac:dyDescent="0.2">
      <c r="A90" s="40"/>
      <c r="B90" s="10" t="s">
        <v>32</v>
      </c>
      <c r="C90" s="30"/>
      <c r="D90" s="35"/>
      <c r="E90" s="30"/>
      <c r="F90" s="35"/>
      <c r="G90" s="30"/>
      <c r="H90" s="31"/>
      <c r="I90" s="38"/>
      <c r="J90" s="38"/>
      <c r="K90" s="38"/>
      <c r="L90" s="38"/>
      <c r="M90" s="38"/>
      <c r="N90" s="38"/>
      <c r="O90" s="41"/>
    </row>
    <row r="91" spans="1:15" x14ac:dyDescent="0.2">
      <c r="A91" s="40"/>
      <c r="B91" s="10" t="s">
        <v>33</v>
      </c>
      <c r="D91" s="36"/>
      <c r="F91" s="36"/>
      <c r="H91" s="2"/>
      <c r="I91" s="38"/>
      <c r="J91" s="38"/>
      <c r="K91" s="38"/>
      <c r="L91" s="38"/>
      <c r="M91" s="38"/>
      <c r="N91" s="38"/>
      <c r="O91" s="41"/>
    </row>
    <row r="92" spans="1:15" x14ac:dyDescent="0.2">
      <c r="A92" s="40"/>
      <c r="B92" s="10" t="s">
        <v>34</v>
      </c>
      <c r="C92" s="30"/>
      <c r="D92" s="35"/>
      <c r="E92" s="30"/>
      <c r="F92" s="35"/>
      <c r="G92" s="30"/>
      <c r="H92" s="31"/>
      <c r="I92" s="38"/>
      <c r="J92" s="38"/>
      <c r="K92" s="38"/>
      <c r="L92" s="38"/>
      <c r="M92" s="38"/>
      <c r="N92" s="38"/>
      <c r="O92" s="41"/>
    </row>
    <row r="93" spans="1:15" x14ac:dyDescent="0.2">
      <c r="A93" s="40"/>
      <c r="B93" s="10" t="s">
        <v>35</v>
      </c>
      <c r="D93" s="36"/>
      <c r="F93" s="36"/>
      <c r="H93" s="2"/>
      <c r="I93" s="38"/>
      <c r="J93" s="38"/>
      <c r="K93" s="38"/>
      <c r="L93" s="38"/>
      <c r="M93" s="38"/>
      <c r="N93" s="38"/>
      <c r="O93" s="41"/>
    </row>
    <row r="94" spans="1:15" x14ac:dyDescent="0.2">
      <c r="A94" s="40"/>
      <c r="B94" s="10" t="s">
        <v>36</v>
      </c>
      <c r="C94" s="30"/>
      <c r="D94" s="35"/>
      <c r="E94" s="30"/>
      <c r="F94" s="35"/>
      <c r="G94" s="30"/>
      <c r="H94" s="31"/>
      <c r="I94" s="38"/>
      <c r="J94" s="38"/>
      <c r="K94" s="38"/>
      <c r="L94" s="38"/>
      <c r="M94" s="38"/>
      <c r="N94" s="38"/>
      <c r="O94" s="41"/>
    </row>
    <row r="95" spans="1:15" x14ac:dyDescent="0.2">
      <c r="A95" s="40"/>
      <c r="B95" s="10" t="s">
        <v>37</v>
      </c>
      <c r="D95" s="36"/>
      <c r="F95" s="36"/>
      <c r="H95" s="2"/>
      <c r="I95" s="38"/>
      <c r="J95" s="38"/>
      <c r="K95" s="38"/>
      <c r="L95" s="38"/>
      <c r="M95" s="38"/>
      <c r="N95" s="38"/>
      <c r="O95" s="41"/>
    </row>
    <row r="96" spans="1:15" x14ac:dyDescent="0.2">
      <c r="A96" s="40"/>
      <c r="B96" s="10" t="s">
        <v>38</v>
      </c>
      <c r="C96" s="30"/>
      <c r="D96" s="35"/>
      <c r="E96" s="30"/>
      <c r="F96" s="35"/>
      <c r="G96" s="30"/>
      <c r="H96" s="31"/>
      <c r="I96" s="38"/>
      <c r="J96" s="38"/>
      <c r="K96" s="38"/>
      <c r="L96" s="38"/>
      <c r="M96" s="38"/>
      <c r="N96" s="38"/>
      <c r="O96" s="41"/>
    </row>
    <row r="97" spans="1:15" x14ac:dyDescent="0.2">
      <c r="A97" s="40"/>
      <c r="B97" s="10" t="s">
        <v>39</v>
      </c>
      <c r="D97" s="36"/>
      <c r="F97" s="36"/>
      <c r="H97" s="2"/>
      <c r="I97" s="38"/>
      <c r="J97" s="38"/>
      <c r="K97" s="38"/>
      <c r="L97" s="38"/>
      <c r="M97" s="38"/>
      <c r="N97" s="38"/>
      <c r="O97" s="41"/>
    </row>
    <row r="98" spans="1:15" ht="16" thickBot="1" x14ac:dyDescent="0.25">
      <c r="A98" s="42"/>
      <c r="B98" s="11" t="s">
        <v>40</v>
      </c>
      <c r="C98" s="32"/>
      <c r="D98" s="37"/>
      <c r="E98" s="32"/>
      <c r="F98" s="37"/>
      <c r="G98" s="32"/>
      <c r="H98" s="33"/>
      <c r="I98" s="43"/>
      <c r="J98" s="43"/>
      <c r="K98" s="43"/>
      <c r="L98" s="43"/>
      <c r="M98" s="43"/>
      <c r="N98" s="43"/>
      <c r="O98" s="44"/>
    </row>
  </sheetData>
  <mergeCells count="67">
    <mergeCell ref="J51:K52"/>
    <mergeCell ref="M51:N52"/>
    <mergeCell ref="J59:K60"/>
    <mergeCell ref="M59:N60"/>
    <mergeCell ref="J67:K68"/>
    <mergeCell ref="M67:N68"/>
    <mergeCell ref="A2:O2"/>
    <mergeCell ref="F1:G1"/>
    <mergeCell ref="J3:K4"/>
    <mergeCell ref="M3:N4"/>
    <mergeCell ref="J11:K12"/>
    <mergeCell ref="M11:N12"/>
    <mergeCell ref="J19:K20"/>
    <mergeCell ref="M19:N20"/>
    <mergeCell ref="J27:K28"/>
    <mergeCell ref="M27:N28"/>
    <mergeCell ref="J35:K36"/>
    <mergeCell ref="M35:N36"/>
    <mergeCell ref="C84:H84"/>
    <mergeCell ref="C17:H17"/>
    <mergeCell ref="C20:H20"/>
    <mergeCell ref="B23:H23"/>
    <mergeCell ref="B35:B54"/>
    <mergeCell ref="C35:H35"/>
    <mergeCell ref="C36:D36"/>
    <mergeCell ref="E36:F36"/>
    <mergeCell ref="G36:H36"/>
    <mergeCell ref="C40:F40"/>
    <mergeCell ref="A3:A68"/>
    <mergeCell ref="B3:B22"/>
    <mergeCell ref="C3:H3"/>
    <mergeCell ref="I3:I42"/>
    <mergeCell ref="L3:L42"/>
    <mergeCell ref="C4:D4"/>
    <mergeCell ref="E4:F4"/>
    <mergeCell ref="G4:H4"/>
    <mergeCell ref="C8:F8"/>
    <mergeCell ref="G8:H9"/>
    <mergeCell ref="C9:D9"/>
    <mergeCell ref="E9:F9"/>
    <mergeCell ref="C13:D13"/>
    <mergeCell ref="C14:H14"/>
    <mergeCell ref="G40:H41"/>
    <mergeCell ref="C41:D41"/>
    <mergeCell ref="E41:F41"/>
    <mergeCell ref="C81:H81"/>
    <mergeCell ref="C49:H49"/>
    <mergeCell ref="C52:H52"/>
    <mergeCell ref="B55:H55"/>
    <mergeCell ref="I43:I74"/>
    <mergeCell ref="L43:L74"/>
    <mergeCell ref="C45:D45"/>
    <mergeCell ref="C46:H46"/>
    <mergeCell ref="J43:K44"/>
    <mergeCell ref="M43:N44"/>
    <mergeCell ref="B87:H87"/>
    <mergeCell ref="B67:B86"/>
    <mergeCell ref="C67:H67"/>
    <mergeCell ref="C68:D68"/>
    <mergeCell ref="E68:F68"/>
    <mergeCell ref="G68:H68"/>
    <mergeCell ref="C72:F72"/>
    <mergeCell ref="G72:H73"/>
    <mergeCell ref="C73:D73"/>
    <mergeCell ref="E73:F73"/>
    <mergeCell ref="C77:D77"/>
    <mergeCell ref="C78:H7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A5FD-8527-4F55-9977-CEC2D1D67B63}">
  <sheetPr codeName="Sheet8">
    <tabColor theme="9"/>
  </sheetPr>
  <dimension ref="A1:O98"/>
  <sheetViews>
    <sheetView topLeftCell="A56" workbookViewId="0">
      <selection activeCell="C68" sqref="C68:H86"/>
    </sheetView>
  </sheetViews>
  <sheetFormatPr baseColWidth="10" defaultColWidth="8.83203125" defaultRowHeight="15" x14ac:dyDescent="0.2"/>
  <cols>
    <col min="2" max="2" width="8.5" bestFit="1" customWidth="1"/>
    <col min="3" max="3" width="12.5" bestFit="1" customWidth="1"/>
    <col min="4" max="4" width="9.83203125" bestFit="1" customWidth="1"/>
    <col min="5" max="5" width="14" bestFit="1" customWidth="1"/>
    <col min="6" max="6" width="10.33203125" bestFit="1" customWidth="1"/>
    <col min="7" max="7" width="17.5" bestFit="1" customWidth="1"/>
    <col min="8" max="8" width="9.33203125" customWidth="1"/>
    <col min="10" max="10" width="10.33203125" bestFit="1" customWidth="1"/>
    <col min="13" max="13" width="10.33203125" bestFit="1" customWidth="1"/>
  </cols>
  <sheetData>
    <row r="1" spans="1:15" ht="16" thickBot="1" x14ac:dyDescent="0.25">
      <c r="A1" s="180"/>
      <c r="B1" s="142"/>
      <c r="C1" s="142"/>
      <c r="D1" s="142"/>
      <c r="E1" s="142"/>
      <c r="F1" s="513" t="s">
        <v>377</v>
      </c>
      <c r="G1" s="513"/>
      <c r="H1" s="562"/>
      <c r="I1" s="562"/>
      <c r="J1" s="142"/>
      <c r="K1" s="142"/>
      <c r="L1" s="144"/>
      <c r="M1" s="144"/>
      <c r="N1" s="144"/>
      <c r="O1" s="143"/>
    </row>
    <row r="2" spans="1:15" ht="15" customHeight="1" thickBot="1" x14ac:dyDescent="0.25">
      <c r="A2" s="552" t="s">
        <v>4</v>
      </c>
      <c r="B2" s="553"/>
      <c r="C2" s="553"/>
      <c r="D2" s="553"/>
      <c r="E2" s="553"/>
      <c r="F2" s="553"/>
      <c r="G2" s="553"/>
      <c r="H2" s="553"/>
      <c r="I2" s="553"/>
      <c r="J2" s="553"/>
      <c r="K2" s="553"/>
      <c r="L2" s="553"/>
      <c r="M2" s="553"/>
      <c r="N2" s="553"/>
      <c r="O2" s="50"/>
    </row>
    <row r="3" spans="1:15" x14ac:dyDescent="0.2">
      <c r="A3" s="416"/>
      <c r="B3" s="546" t="s">
        <v>58</v>
      </c>
      <c r="C3" s="411" t="s">
        <v>376</v>
      </c>
      <c r="D3" s="409"/>
      <c r="E3" s="409"/>
      <c r="F3" s="409"/>
      <c r="G3" s="409"/>
      <c r="H3" s="410"/>
      <c r="I3" s="466" t="s">
        <v>63</v>
      </c>
      <c r="J3" s="525" t="s">
        <v>46</v>
      </c>
      <c r="K3" s="321"/>
      <c r="L3" s="466" t="s">
        <v>378</v>
      </c>
      <c r="M3" s="525" t="s">
        <v>46</v>
      </c>
      <c r="N3" s="321"/>
      <c r="O3" s="50"/>
    </row>
    <row r="4" spans="1:15" x14ac:dyDescent="0.2">
      <c r="A4" s="416"/>
      <c r="B4" s="547"/>
      <c r="C4" s="529" t="s">
        <v>432</v>
      </c>
      <c r="D4" s="530"/>
      <c r="E4" s="530" t="s">
        <v>433</v>
      </c>
      <c r="F4" s="530"/>
      <c r="G4" s="530" t="s">
        <v>434</v>
      </c>
      <c r="H4" s="531"/>
      <c r="I4" s="467"/>
      <c r="J4" s="565"/>
      <c r="K4" s="566"/>
      <c r="L4" s="467"/>
      <c r="M4" s="565"/>
      <c r="N4" s="566"/>
      <c r="O4" s="50"/>
    </row>
    <row r="5" spans="1:15" x14ac:dyDescent="0.2">
      <c r="A5" s="416"/>
      <c r="B5" s="547"/>
      <c r="C5" s="21" t="s">
        <v>425</v>
      </c>
      <c r="D5" s="165"/>
      <c r="E5" s="24" t="s">
        <v>263</v>
      </c>
      <c r="F5" s="165"/>
      <c r="G5" s="24" t="s">
        <v>5</v>
      </c>
      <c r="H5" s="164"/>
      <c r="I5" s="467"/>
      <c r="J5" s="278" t="s">
        <v>48</v>
      </c>
      <c r="K5" s="563"/>
      <c r="L5" s="467"/>
      <c r="M5" s="278" t="s">
        <v>48</v>
      </c>
      <c r="N5" s="31"/>
      <c r="O5" s="50"/>
    </row>
    <row r="6" spans="1:15" x14ac:dyDescent="0.2">
      <c r="A6" s="416"/>
      <c r="B6" s="547"/>
      <c r="C6" s="22" t="s">
        <v>6</v>
      </c>
      <c r="D6" s="30"/>
      <c r="E6" s="25" t="s">
        <v>329</v>
      </c>
      <c r="F6" s="30"/>
      <c r="G6" s="25" t="s">
        <v>6</v>
      </c>
      <c r="H6" s="31"/>
      <c r="I6" s="467"/>
      <c r="J6" s="278" t="s">
        <v>49</v>
      </c>
      <c r="K6" s="564"/>
      <c r="L6" s="467"/>
      <c r="M6" s="278" t="s">
        <v>49</v>
      </c>
      <c r="N6" s="2"/>
      <c r="O6" s="50"/>
    </row>
    <row r="7" spans="1:15" ht="16" thickBot="1" x14ac:dyDescent="0.25">
      <c r="A7" s="416"/>
      <c r="B7" s="547"/>
      <c r="C7" s="23" t="s">
        <v>424</v>
      </c>
      <c r="D7" s="4"/>
      <c r="E7" s="26" t="s">
        <v>7</v>
      </c>
      <c r="F7" s="4"/>
      <c r="G7" s="26" t="s">
        <v>7</v>
      </c>
      <c r="H7" s="5"/>
      <c r="I7" s="467"/>
      <c r="J7" s="279" t="s">
        <v>50</v>
      </c>
      <c r="K7" s="99"/>
      <c r="L7" s="467"/>
      <c r="M7" s="279" t="s">
        <v>50</v>
      </c>
      <c r="N7" s="100"/>
      <c r="O7" s="50"/>
    </row>
    <row r="8" spans="1:15" x14ac:dyDescent="0.2">
      <c r="A8" s="416"/>
      <c r="B8" s="547"/>
      <c r="C8" s="411" t="s">
        <v>12</v>
      </c>
      <c r="D8" s="409"/>
      <c r="E8" s="409"/>
      <c r="F8" s="409"/>
      <c r="G8" s="525" t="s">
        <v>2</v>
      </c>
      <c r="H8" s="321"/>
      <c r="I8" s="467"/>
      <c r="J8" s="278" t="s">
        <v>51</v>
      </c>
      <c r="K8" s="564"/>
      <c r="L8" s="467"/>
      <c r="M8" s="278" t="s">
        <v>51</v>
      </c>
      <c r="N8" s="2"/>
      <c r="O8" s="50"/>
    </row>
    <row r="9" spans="1:15" x14ac:dyDescent="0.2">
      <c r="A9" s="416"/>
      <c r="B9" s="547"/>
      <c r="C9" s="532" t="s">
        <v>426</v>
      </c>
      <c r="D9" s="533"/>
      <c r="E9" s="533" t="s">
        <v>427</v>
      </c>
      <c r="F9" s="533"/>
      <c r="G9" s="544"/>
      <c r="H9" s="545"/>
      <c r="I9" s="467"/>
      <c r="J9" s="278" t="s">
        <v>49</v>
      </c>
      <c r="K9" s="563"/>
      <c r="L9" s="467"/>
      <c r="M9" s="278" t="s">
        <v>49</v>
      </c>
      <c r="N9" s="31"/>
      <c r="O9" s="50"/>
    </row>
    <row r="10" spans="1:15" x14ac:dyDescent="0.2">
      <c r="A10" s="416"/>
      <c r="B10" s="547"/>
      <c r="C10" s="22" t="s">
        <v>425</v>
      </c>
      <c r="E10" s="25" t="s">
        <v>425</v>
      </c>
      <c r="G10" s="22" t="s">
        <v>18</v>
      </c>
      <c r="H10" s="31"/>
      <c r="I10" s="467"/>
      <c r="J10" s="278" t="s">
        <v>50</v>
      </c>
      <c r="K10" s="564"/>
      <c r="L10" s="467"/>
      <c r="M10" s="278" t="s">
        <v>50</v>
      </c>
      <c r="N10" s="2"/>
      <c r="O10" s="50"/>
    </row>
    <row r="11" spans="1:15" x14ac:dyDescent="0.2">
      <c r="A11" s="416"/>
      <c r="B11" s="547"/>
      <c r="C11" s="22" t="s">
        <v>6</v>
      </c>
      <c r="D11" s="30"/>
      <c r="E11" s="25" t="s">
        <v>6</v>
      </c>
      <c r="F11" s="30"/>
      <c r="G11" s="22" t="s">
        <v>19</v>
      </c>
      <c r="H11" s="2"/>
      <c r="I11" s="467"/>
      <c r="J11" s="567" t="s">
        <v>52</v>
      </c>
      <c r="K11" s="568"/>
      <c r="L11" s="467"/>
      <c r="M11" s="567" t="s">
        <v>52</v>
      </c>
      <c r="N11" s="568"/>
      <c r="O11" s="50"/>
    </row>
    <row r="12" spans="1:15" ht="16" thickBot="1" x14ac:dyDescent="0.25">
      <c r="A12" s="416"/>
      <c r="B12" s="547"/>
      <c r="C12" s="23" t="s">
        <v>7</v>
      </c>
      <c r="D12" s="4"/>
      <c r="E12" s="26" t="s">
        <v>7</v>
      </c>
      <c r="F12" s="4"/>
      <c r="G12" s="23" t="s">
        <v>20</v>
      </c>
      <c r="H12" s="33"/>
      <c r="I12" s="467"/>
      <c r="J12" s="565"/>
      <c r="K12" s="566"/>
      <c r="L12" s="467"/>
      <c r="M12" s="565"/>
      <c r="N12" s="566"/>
      <c r="O12" s="50"/>
    </row>
    <row r="13" spans="1:15" ht="16" thickBot="1" x14ac:dyDescent="0.25">
      <c r="A13" s="416"/>
      <c r="B13" s="547"/>
      <c r="C13" s="523" t="s">
        <v>0</v>
      </c>
      <c r="D13" s="524"/>
      <c r="E13" s="133" t="s">
        <v>267</v>
      </c>
      <c r="F13" s="135"/>
      <c r="G13" s="133" t="s">
        <v>268</v>
      </c>
      <c r="H13" s="134"/>
      <c r="I13" s="467"/>
      <c r="J13" s="278" t="s">
        <v>48</v>
      </c>
      <c r="K13" s="563"/>
      <c r="L13" s="467"/>
      <c r="M13" s="278" t="s">
        <v>48</v>
      </c>
      <c r="N13" s="31"/>
      <c r="O13" s="50"/>
    </row>
    <row r="14" spans="1:15" x14ac:dyDescent="0.2">
      <c r="A14" s="416"/>
      <c r="B14" s="547"/>
      <c r="C14" s="525" t="s">
        <v>262</v>
      </c>
      <c r="D14" s="320"/>
      <c r="E14" s="320"/>
      <c r="F14" s="320"/>
      <c r="G14" s="320"/>
      <c r="H14" s="321"/>
      <c r="I14" s="467"/>
      <c r="J14" s="278" t="s">
        <v>49</v>
      </c>
      <c r="K14" s="564"/>
      <c r="L14" s="467"/>
      <c r="M14" s="278" t="s">
        <v>49</v>
      </c>
      <c r="N14" s="2"/>
      <c r="O14" s="50"/>
    </row>
    <row r="15" spans="1:15" x14ac:dyDescent="0.2">
      <c r="A15" s="416"/>
      <c r="B15" s="547"/>
      <c r="C15" s="27" t="s">
        <v>263</v>
      </c>
      <c r="D15" s="28" t="s">
        <v>132</v>
      </c>
      <c r="E15" s="28" t="s">
        <v>264</v>
      </c>
      <c r="F15" s="28" t="s">
        <v>22</v>
      </c>
      <c r="G15" s="28" t="s">
        <v>259</v>
      </c>
      <c r="H15" s="29" t="s">
        <v>97</v>
      </c>
      <c r="I15" s="467"/>
      <c r="J15" s="279" t="s">
        <v>50</v>
      </c>
      <c r="K15" s="99"/>
      <c r="L15" s="467"/>
      <c r="M15" s="279" t="s">
        <v>50</v>
      </c>
      <c r="N15" s="100"/>
      <c r="O15" s="50"/>
    </row>
    <row r="16" spans="1:15" ht="16" thickBot="1" x14ac:dyDescent="0.25">
      <c r="A16" s="416"/>
      <c r="B16" s="547"/>
      <c r="C16" s="1"/>
      <c r="D16" s="30"/>
      <c r="F16" s="30"/>
      <c r="H16" s="31"/>
      <c r="I16" s="467"/>
      <c r="J16" s="278" t="s">
        <v>51</v>
      </c>
      <c r="K16" s="564"/>
      <c r="L16" s="467"/>
      <c r="M16" s="278" t="s">
        <v>51</v>
      </c>
      <c r="N16" s="2"/>
      <c r="O16" s="50"/>
    </row>
    <row r="17" spans="1:15" x14ac:dyDescent="0.2">
      <c r="A17" s="416"/>
      <c r="B17" s="547"/>
      <c r="C17" s="525" t="s">
        <v>265</v>
      </c>
      <c r="D17" s="320"/>
      <c r="E17" s="320"/>
      <c r="F17" s="320"/>
      <c r="G17" s="320"/>
      <c r="H17" s="321"/>
      <c r="I17" s="467"/>
      <c r="J17" s="278" t="s">
        <v>49</v>
      </c>
      <c r="K17" s="563"/>
      <c r="L17" s="467"/>
      <c r="M17" s="278" t="s">
        <v>49</v>
      </c>
      <c r="N17" s="31"/>
      <c r="O17" s="50"/>
    </row>
    <row r="18" spans="1:15" x14ac:dyDescent="0.2">
      <c r="A18" s="416"/>
      <c r="B18" s="547"/>
      <c r="C18" s="27" t="s">
        <v>263</v>
      </c>
      <c r="D18" s="28" t="s">
        <v>132</v>
      </c>
      <c r="E18" s="28" t="s">
        <v>264</v>
      </c>
      <c r="F18" s="28" t="s">
        <v>22</v>
      </c>
      <c r="G18" s="28" t="s">
        <v>259</v>
      </c>
      <c r="H18" s="29" t="s">
        <v>97</v>
      </c>
      <c r="I18" s="467"/>
      <c r="J18" s="278" t="s">
        <v>50</v>
      </c>
      <c r="K18" s="564"/>
      <c r="L18" s="467"/>
      <c r="M18" s="278" t="s">
        <v>50</v>
      </c>
      <c r="N18" s="2"/>
      <c r="O18" s="50"/>
    </row>
    <row r="19" spans="1:15" ht="16" thickBot="1" x14ac:dyDescent="0.25">
      <c r="A19" s="416"/>
      <c r="B19" s="547"/>
      <c r="C19" s="160"/>
      <c r="D19" s="30"/>
      <c r="F19" s="30"/>
      <c r="H19" s="31"/>
      <c r="I19" s="467"/>
      <c r="J19" s="567" t="s">
        <v>53</v>
      </c>
      <c r="K19" s="568"/>
      <c r="L19" s="467"/>
      <c r="M19" s="567" t="s">
        <v>53</v>
      </c>
      <c r="N19" s="568"/>
      <c r="O19" s="50"/>
    </row>
    <row r="20" spans="1:15" x14ac:dyDescent="0.2">
      <c r="A20" s="416"/>
      <c r="B20" s="547"/>
      <c r="C20" s="411" t="s">
        <v>1</v>
      </c>
      <c r="D20" s="409"/>
      <c r="E20" s="409"/>
      <c r="F20" s="409"/>
      <c r="G20" s="409"/>
      <c r="H20" s="410"/>
      <c r="I20" s="467"/>
      <c r="J20" s="565"/>
      <c r="K20" s="566"/>
      <c r="L20" s="467"/>
      <c r="M20" s="565"/>
      <c r="N20" s="566"/>
      <c r="O20" s="50"/>
    </row>
    <row r="21" spans="1:15" x14ac:dyDescent="0.2">
      <c r="A21" s="416"/>
      <c r="B21" s="547"/>
      <c r="C21" s="18" t="s">
        <v>266</v>
      </c>
      <c r="D21" s="19" t="s">
        <v>45</v>
      </c>
      <c r="E21" s="19" t="s">
        <v>15</v>
      </c>
      <c r="F21" s="19" t="s">
        <v>14</v>
      </c>
      <c r="G21" s="19" t="s">
        <v>41</v>
      </c>
      <c r="H21" s="20" t="s">
        <v>43</v>
      </c>
      <c r="I21" s="467"/>
      <c r="J21" s="278" t="s">
        <v>48</v>
      </c>
      <c r="K21" s="563"/>
      <c r="L21" s="467"/>
      <c r="M21" s="278" t="s">
        <v>48</v>
      </c>
      <c r="N21" s="31"/>
      <c r="O21" s="50"/>
    </row>
    <row r="22" spans="1:15" ht="16" thickBot="1" x14ac:dyDescent="0.25">
      <c r="A22" s="416"/>
      <c r="B22" s="548"/>
      <c r="C22" s="3"/>
      <c r="D22" s="32"/>
      <c r="E22" s="4"/>
      <c r="F22" s="32"/>
      <c r="G22" s="4"/>
      <c r="H22" s="33"/>
      <c r="I22" s="467"/>
      <c r="J22" s="278" t="s">
        <v>49</v>
      </c>
      <c r="K22" s="564"/>
      <c r="L22" s="467"/>
      <c r="M22" s="278" t="s">
        <v>49</v>
      </c>
      <c r="N22" s="2"/>
      <c r="O22" s="50"/>
    </row>
    <row r="23" spans="1:15" x14ac:dyDescent="0.2">
      <c r="A23" s="416"/>
      <c r="B23" s="411" t="s">
        <v>23</v>
      </c>
      <c r="C23" s="409"/>
      <c r="D23" s="409"/>
      <c r="E23" s="409"/>
      <c r="F23" s="409"/>
      <c r="G23" s="409"/>
      <c r="H23" s="410"/>
      <c r="I23" s="467"/>
      <c r="J23" s="279" t="s">
        <v>50</v>
      </c>
      <c r="K23" s="99"/>
      <c r="L23" s="467"/>
      <c r="M23" s="279" t="s">
        <v>50</v>
      </c>
      <c r="N23" s="100"/>
      <c r="O23" s="50"/>
    </row>
    <row r="24" spans="1:15" x14ac:dyDescent="0.2">
      <c r="A24" s="416"/>
      <c r="B24" s="18" t="s">
        <v>24</v>
      </c>
      <c r="C24" s="19" t="s">
        <v>25</v>
      </c>
      <c r="D24" s="19" t="s">
        <v>28</v>
      </c>
      <c r="E24" s="19" t="s">
        <v>26</v>
      </c>
      <c r="F24" s="19" t="s">
        <v>30</v>
      </c>
      <c r="G24" s="19" t="s">
        <v>27</v>
      </c>
      <c r="H24" s="20" t="s">
        <v>29</v>
      </c>
      <c r="I24" s="467"/>
      <c r="J24" s="278" t="s">
        <v>51</v>
      </c>
      <c r="K24" s="564"/>
      <c r="L24" s="467"/>
      <c r="M24" s="278" t="s">
        <v>51</v>
      </c>
      <c r="N24" s="2"/>
      <c r="O24" s="50"/>
    </row>
    <row r="25" spans="1:15" x14ac:dyDescent="0.2">
      <c r="A25" s="416"/>
      <c r="B25" s="21" t="s">
        <v>31</v>
      </c>
      <c r="D25" s="34"/>
      <c r="F25" s="34"/>
      <c r="H25" s="2"/>
      <c r="I25" s="467"/>
      <c r="J25" s="278" t="s">
        <v>49</v>
      </c>
      <c r="K25" s="563"/>
      <c r="L25" s="467"/>
      <c r="M25" s="278" t="s">
        <v>49</v>
      </c>
      <c r="N25" s="31"/>
      <c r="O25" s="50"/>
    </row>
    <row r="26" spans="1:15" x14ac:dyDescent="0.2">
      <c r="A26" s="416"/>
      <c r="B26" s="22" t="s">
        <v>32</v>
      </c>
      <c r="C26" s="30"/>
      <c r="D26" s="35"/>
      <c r="E26" s="30"/>
      <c r="F26" s="35"/>
      <c r="G26" s="30"/>
      <c r="H26" s="31"/>
      <c r="I26" s="467"/>
      <c r="J26" s="278" t="s">
        <v>50</v>
      </c>
      <c r="K26" s="564"/>
      <c r="L26" s="467"/>
      <c r="M26" s="278" t="s">
        <v>50</v>
      </c>
      <c r="N26" s="2"/>
      <c r="O26" s="50"/>
    </row>
    <row r="27" spans="1:15" x14ac:dyDescent="0.2">
      <c r="A27" s="416"/>
      <c r="B27" s="22" t="s">
        <v>33</v>
      </c>
      <c r="D27" s="36"/>
      <c r="F27" s="36"/>
      <c r="H27" s="2"/>
      <c r="I27" s="467"/>
      <c r="J27" s="567" t="s">
        <v>54</v>
      </c>
      <c r="K27" s="568"/>
      <c r="L27" s="467"/>
      <c r="M27" s="567" t="s">
        <v>54</v>
      </c>
      <c r="N27" s="568"/>
      <c r="O27" s="50"/>
    </row>
    <row r="28" spans="1:15" x14ac:dyDescent="0.2">
      <c r="A28" s="416"/>
      <c r="B28" s="22" t="s">
        <v>34</v>
      </c>
      <c r="C28" s="30"/>
      <c r="D28" s="35"/>
      <c r="E28" s="30"/>
      <c r="F28" s="35"/>
      <c r="G28" s="30"/>
      <c r="H28" s="31"/>
      <c r="I28" s="467"/>
      <c r="J28" s="565"/>
      <c r="K28" s="566"/>
      <c r="L28" s="467"/>
      <c r="M28" s="565"/>
      <c r="N28" s="566"/>
      <c r="O28" s="50"/>
    </row>
    <row r="29" spans="1:15" x14ac:dyDescent="0.2">
      <c r="A29" s="416"/>
      <c r="B29" s="22" t="s">
        <v>35</v>
      </c>
      <c r="D29" s="36"/>
      <c r="F29" s="36"/>
      <c r="H29" s="2"/>
      <c r="I29" s="467"/>
      <c r="J29" s="278" t="s">
        <v>48</v>
      </c>
      <c r="K29" s="563"/>
      <c r="L29" s="467"/>
      <c r="M29" s="278" t="s">
        <v>48</v>
      </c>
      <c r="N29" s="31"/>
      <c r="O29" s="50"/>
    </row>
    <row r="30" spans="1:15" x14ac:dyDescent="0.2">
      <c r="A30" s="416"/>
      <c r="B30" s="22" t="s">
        <v>36</v>
      </c>
      <c r="C30" s="30"/>
      <c r="D30" s="35"/>
      <c r="E30" s="30"/>
      <c r="F30" s="35"/>
      <c r="G30" s="30"/>
      <c r="H30" s="31"/>
      <c r="I30" s="467"/>
      <c r="J30" s="278" t="s">
        <v>49</v>
      </c>
      <c r="K30" s="564"/>
      <c r="L30" s="467"/>
      <c r="M30" s="278" t="s">
        <v>49</v>
      </c>
      <c r="N30" s="2"/>
      <c r="O30" s="50"/>
    </row>
    <row r="31" spans="1:15" x14ac:dyDescent="0.2">
      <c r="A31" s="416"/>
      <c r="B31" s="22" t="s">
        <v>37</v>
      </c>
      <c r="D31" s="36"/>
      <c r="F31" s="36"/>
      <c r="H31" s="2"/>
      <c r="I31" s="467"/>
      <c r="J31" s="279" t="s">
        <v>50</v>
      </c>
      <c r="K31" s="99"/>
      <c r="L31" s="467"/>
      <c r="M31" s="279" t="s">
        <v>50</v>
      </c>
      <c r="N31" s="100"/>
      <c r="O31" s="50"/>
    </row>
    <row r="32" spans="1:15" ht="15" customHeight="1" x14ac:dyDescent="0.2">
      <c r="A32" s="416"/>
      <c r="B32" s="22" t="s">
        <v>38</v>
      </c>
      <c r="C32" s="30"/>
      <c r="D32" s="35"/>
      <c r="E32" s="30"/>
      <c r="F32" s="35"/>
      <c r="G32" s="30"/>
      <c r="H32" s="31"/>
      <c r="I32" s="467"/>
      <c r="J32" s="278" t="s">
        <v>51</v>
      </c>
      <c r="K32" s="564"/>
      <c r="L32" s="467"/>
      <c r="M32" s="278" t="s">
        <v>51</v>
      </c>
      <c r="N32" s="2"/>
      <c r="O32" s="50"/>
    </row>
    <row r="33" spans="1:15" x14ac:dyDescent="0.2">
      <c r="A33" s="416"/>
      <c r="B33" s="22" t="s">
        <v>39</v>
      </c>
      <c r="D33" s="36"/>
      <c r="F33" s="36"/>
      <c r="H33" s="2"/>
      <c r="I33" s="467"/>
      <c r="J33" s="278" t="s">
        <v>49</v>
      </c>
      <c r="K33" s="563"/>
      <c r="L33" s="467"/>
      <c r="M33" s="278" t="s">
        <v>49</v>
      </c>
      <c r="N33" s="31"/>
      <c r="O33" s="50"/>
    </row>
    <row r="34" spans="1:15" ht="15" customHeight="1" thickBot="1" x14ac:dyDescent="0.25">
      <c r="A34" s="416"/>
      <c r="B34" s="23" t="s">
        <v>40</v>
      </c>
      <c r="C34" s="32"/>
      <c r="D34" s="37"/>
      <c r="E34" s="32"/>
      <c r="F34" s="37"/>
      <c r="G34" s="32"/>
      <c r="H34" s="33"/>
      <c r="I34" s="467"/>
      <c r="J34" s="278" t="s">
        <v>50</v>
      </c>
      <c r="K34" s="564"/>
      <c r="L34" s="467"/>
      <c r="M34" s="278" t="s">
        <v>50</v>
      </c>
      <c r="N34" s="2"/>
      <c r="O34" s="50"/>
    </row>
    <row r="35" spans="1:15" x14ac:dyDescent="0.2">
      <c r="A35" s="416"/>
      <c r="B35" s="546" t="s">
        <v>61</v>
      </c>
      <c r="C35" s="411" t="s">
        <v>376</v>
      </c>
      <c r="D35" s="409"/>
      <c r="E35" s="409"/>
      <c r="F35" s="409"/>
      <c r="G35" s="409"/>
      <c r="H35" s="410"/>
      <c r="I35" s="467"/>
      <c r="J35" s="567" t="s">
        <v>55</v>
      </c>
      <c r="K35" s="568"/>
      <c r="L35" s="467"/>
      <c r="M35" s="567" t="s">
        <v>55</v>
      </c>
      <c r="N35" s="568"/>
      <c r="O35" s="50"/>
    </row>
    <row r="36" spans="1:15" x14ac:dyDescent="0.2">
      <c r="A36" s="416"/>
      <c r="B36" s="547"/>
      <c r="C36" s="529" t="s">
        <v>432</v>
      </c>
      <c r="D36" s="530"/>
      <c r="E36" s="530" t="s">
        <v>433</v>
      </c>
      <c r="F36" s="530"/>
      <c r="G36" s="530" t="s">
        <v>434</v>
      </c>
      <c r="H36" s="531"/>
      <c r="I36" s="467"/>
      <c r="J36" s="565"/>
      <c r="K36" s="566"/>
      <c r="L36" s="467"/>
      <c r="M36" s="565"/>
      <c r="N36" s="566"/>
      <c r="O36" s="50"/>
    </row>
    <row r="37" spans="1:15" x14ac:dyDescent="0.2">
      <c r="A37" s="416"/>
      <c r="B37" s="547"/>
      <c r="C37" s="21" t="s">
        <v>425</v>
      </c>
      <c r="D37" s="165"/>
      <c r="E37" s="24" t="s">
        <v>263</v>
      </c>
      <c r="F37" s="165"/>
      <c r="G37" s="24" t="s">
        <v>5</v>
      </c>
      <c r="H37" s="164"/>
      <c r="I37" s="467"/>
      <c r="J37" s="278" t="s">
        <v>48</v>
      </c>
      <c r="K37" s="563"/>
      <c r="L37" s="467"/>
      <c r="M37" s="278" t="s">
        <v>48</v>
      </c>
      <c r="N37" s="31"/>
      <c r="O37" s="50"/>
    </row>
    <row r="38" spans="1:15" ht="15" customHeight="1" x14ac:dyDescent="0.2">
      <c r="A38" s="416"/>
      <c r="B38" s="547"/>
      <c r="C38" s="22" t="s">
        <v>6</v>
      </c>
      <c r="D38" s="30"/>
      <c r="E38" s="25" t="s">
        <v>329</v>
      </c>
      <c r="F38" s="30"/>
      <c r="G38" s="25" t="s">
        <v>6</v>
      </c>
      <c r="H38" s="31"/>
      <c r="I38" s="467"/>
      <c r="J38" s="278" t="s">
        <v>49</v>
      </c>
      <c r="K38" s="564"/>
      <c r="L38" s="467"/>
      <c r="M38" s="278" t="s">
        <v>49</v>
      </c>
      <c r="N38" s="2"/>
      <c r="O38" s="50"/>
    </row>
    <row r="39" spans="1:15" ht="16" thickBot="1" x14ac:dyDescent="0.25">
      <c r="A39" s="416"/>
      <c r="B39" s="547"/>
      <c r="C39" s="23" t="s">
        <v>424</v>
      </c>
      <c r="D39" s="4"/>
      <c r="E39" s="26" t="s">
        <v>7</v>
      </c>
      <c r="F39" s="4"/>
      <c r="G39" s="26" t="s">
        <v>7</v>
      </c>
      <c r="H39" s="5"/>
      <c r="I39" s="467"/>
      <c r="J39" s="279" t="s">
        <v>50</v>
      </c>
      <c r="K39" s="99"/>
      <c r="L39" s="467"/>
      <c r="M39" s="279" t="s">
        <v>50</v>
      </c>
      <c r="N39" s="100"/>
      <c r="O39" s="50"/>
    </row>
    <row r="40" spans="1:15" x14ac:dyDescent="0.2">
      <c r="A40" s="416"/>
      <c r="B40" s="547"/>
      <c r="C40" s="411" t="s">
        <v>12</v>
      </c>
      <c r="D40" s="409"/>
      <c r="E40" s="409"/>
      <c r="F40" s="409"/>
      <c r="G40" s="525" t="s">
        <v>2</v>
      </c>
      <c r="H40" s="321"/>
      <c r="I40" s="467"/>
      <c r="J40" s="278" t="s">
        <v>51</v>
      </c>
      <c r="K40" s="564"/>
      <c r="L40" s="467"/>
      <c r="M40" s="278" t="s">
        <v>51</v>
      </c>
      <c r="N40" s="2"/>
      <c r="O40" s="50"/>
    </row>
    <row r="41" spans="1:15" x14ac:dyDescent="0.2">
      <c r="A41" s="416"/>
      <c r="B41" s="547"/>
      <c r="C41" s="532" t="s">
        <v>426</v>
      </c>
      <c r="D41" s="533"/>
      <c r="E41" s="533" t="s">
        <v>427</v>
      </c>
      <c r="F41" s="533"/>
      <c r="G41" s="544"/>
      <c r="H41" s="545"/>
      <c r="I41" s="467"/>
      <c r="J41" s="278" t="s">
        <v>49</v>
      </c>
      <c r="K41" s="563"/>
      <c r="L41" s="467"/>
      <c r="M41" s="278" t="s">
        <v>49</v>
      </c>
      <c r="N41" s="31"/>
      <c r="O41" s="50"/>
    </row>
    <row r="42" spans="1:15" ht="16" thickBot="1" x14ac:dyDescent="0.25">
      <c r="A42" s="416"/>
      <c r="B42" s="547"/>
      <c r="C42" s="22" t="s">
        <v>425</v>
      </c>
      <c r="E42" s="25" t="s">
        <v>425</v>
      </c>
      <c r="G42" s="22" t="s">
        <v>18</v>
      </c>
      <c r="H42" s="31"/>
      <c r="I42" s="468"/>
      <c r="J42" s="281" t="s">
        <v>50</v>
      </c>
      <c r="K42" s="4"/>
      <c r="L42" s="468"/>
      <c r="M42" s="281" t="s">
        <v>50</v>
      </c>
      <c r="N42" s="5"/>
      <c r="O42" s="50"/>
    </row>
    <row r="43" spans="1:15" x14ac:dyDescent="0.2">
      <c r="A43" s="416"/>
      <c r="B43" s="547"/>
      <c r="C43" s="22" t="s">
        <v>6</v>
      </c>
      <c r="D43" s="30"/>
      <c r="E43" s="25" t="s">
        <v>6</v>
      </c>
      <c r="F43" s="30"/>
      <c r="G43" s="22" t="s">
        <v>19</v>
      </c>
      <c r="H43" s="2"/>
      <c r="I43" s="466" t="s">
        <v>380</v>
      </c>
      <c r="J43" s="525" t="s">
        <v>56</v>
      </c>
      <c r="K43" s="321"/>
      <c r="L43" s="466" t="s">
        <v>64</v>
      </c>
      <c r="M43" s="525" t="s">
        <v>56</v>
      </c>
      <c r="N43" s="321"/>
      <c r="O43" s="50"/>
    </row>
    <row r="44" spans="1:15" ht="16" thickBot="1" x14ac:dyDescent="0.25">
      <c r="A44" s="416"/>
      <c r="B44" s="547"/>
      <c r="C44" s="23" t="s">
        <v>7</v>
      </c>
      <c r="D44" s="4"/>
      <c r="E44" s="26" t="s">
        <v>7</v>
      </c>
      <c r="F44" s="4"/>
      <c r="G44" s="23" t="s">
        <v>20</v>
      </c>
      <c r="H44" s="33"/>
      <c r="I44" s="467"/>
      <c r="J44" s="565"/>
      <c r="K44" s="566"/>
      <c r="L44" s="467"/>
      <c r="M44" s="565"/>
      <c r="N44" s="566"/>
      <c r="O44" s="50"/>
    </row>
    <row r="45" spans="1:15" ht="16" thickBot="1" x14ac:dyDescent="0.25">
      <c r="A45" s="416"/>
      <c r="B45" s="547"/>
      <c r="C45" s="523" t="s">
        <v>0</v>
      </c>
      <c r="D45" s="524"/>
      <c r="E45" s="133" t="s">
        <v>267</v>
      </c>
      <c r="F45" s="135"/>
      <c r="G45" s="133" t="s">
        <v>268</v>
      </c>
      <c r="H45" s="134"/>
      <c r="I45" s="467"/>
      <c r="J45" s="278" t="s">
        <v>48</v>
      </c>
      <c r="K45" s="563"/>
      <c r="L45" s="467"/>
      <c r="M45" s="278" t="s">
        <v>48</v>
      </c>
      <c r="N45" s="31"/>
      <c r="O45" s="50"/>
    </row>
    <row r="46" spans="1:15" x14ac:dyDescent="0.2">
      <c r="A46" s="416"/>
      <c r="B46" s="547"/>
      <c r="C46" s="525" t="s">
        <v>262</v>
      </c>
      <c r="D46" s="320"/>
      <c r="E46" s="320"/>
      <c r="F46" s="320"/>
      <c r="G46" s="320"/>
      <c r="H46" s="321"/>
      <c r="I46" s="467"/>
      <c r="J46" s="278" t="s">
        <v>49</v>
      </c>
      <c r="K46" s="564"/>
      <c r="L46" s="467"/>
      <c r="M46" s="278" t="s">
        <v>49</v>
      </c>
      <c r="N46" s="2"/>
      <c r="O46" s="50"/>
    </row>
    <row r="47" spans="1:15" x14ac:dyDescent="0.2">
      <c r="A47" s="416"/>
      <c r="B47" s="547"/>
      <c r="C47" s="27" t="s">
        <v>263</v>
      </c>
      <c r="D47" s="28" t="s">
        <v>132</v>
      </c>
      <c r="E47" s="28" t="s">
        <v>264</v>
      </c>
      <c r="F47" s="28" t="s">
        <v>22</v>
      </c>
      <c r="G47" s="28" t="s">
        <v>259</v>
      </c>
      <c r="H47" s="29" t="s">
        <v>97</v>
      </c>
      <c r="I47" s="467"/>
      <c r="J47" s="279" t="s">
        <v>50</v>
      </c>
      <c r="K47" s="99"/>
      <c r="L47" s="467"/>
      <c r="M47" s="279" t="s">
        <v>50</v>
      </c>
      <c r="N47" s="100"/>
      <c r="O47" s="50"/>
    </row>
    <row r="48" spans="1:15" ht="16" thickBot="1" x14ac:dyDescent="0.25">
      <c r="A48" s="416"/>
      <c r="B48" s="547"/>
      <c r="C48" s="1"/>
      <c r="D48" s="30"/>
      <c r="F48" s="30"/>
      <c r="H48" s="31"/>
      <c r="I48" s="467"/>
      <c r="J48" s="278" t="s">
        <v>51</v>
      </c>
      <c r="K48" s="564"/>
      <c r="L48" s="467"/>
      <c r="M48" s="278" t="s">
        <v>51</v>
      </c>
      <c r="N48" s="2"/>
      <c r="O48" s="50"/>
    </row>
    <row r="49" spans="1:15" x14ac:dyDescent="0.2">
      <c r="A49" s="416"/>
      <c r="B49" s="547"/>
      <c r="C49" s="525" t="s">
        <v>265</v>
      </c>
      <c r="D49" s="320"/>
      <c r="E49" s="320"/>
      <c r="F49" s="320"/>
      <c r="G49" s="320"/>
      <c r="H49" s="321"/>
      <c r="I49" s="467"/>
      <c r="J49" s="278" t="s">
        <v>49</v>
      </c>
      <c r="K49" s="563"/>
      <c r="L49" s="467"/>
      <c r="M49" s="278" t="s">
        <v>49</v>
      </c>
      <c r="N49" s="31"/>
      <c r="O49" s="50"/>
    </row>
    <row r="50" spans="1:15" x14ac:dyDescent="0.2">
      <c r="A50" s="416"/>
      <c r="B50" s="547"/>
      <c r="C50" s="27" t="s">
        <v>263</v>
      </c>
      <c r="D50" s="28" t="s">
        <v>132</v>
      </c>
      <c r="E50" s="28" t="s">
        <v>264</v>
      </c>
      <c r="F50" s="28" t="s">
        <v>22</v>
      </c>
      <c r="G50" s="28" t="s">
        <v>259</v>
      </c>
      <c r="H50" s="29" t="s">
        <v>97</v>
      </c>
      <c r="I50" s="467"/>
      <c r="J50" s="278" t="s">
        <v>50</v>
      </c>
      <c r="K50" s="564"/>
      <c r="L50" s="467"/>
      <c r="M50" s="278" t="s">
        <v>50</v>
      </c>
      <c r="N50" s="2"/>
      <c r="O50" s="50"/>
    </row>
    <row r="51" spans="1:15" ht="16" thickBot="1" x14ac:dyDescent="0.25">
      <c r="A51" s="416"/>
      <c r="B51" s="547"/>
      <c r="C51" s="160"/>
      <c r="D51" s="30"/>
      <c r="F51" s="30"/>
      <c r="H51" s="31"/>
      <c r="I51" s="467"/>
      <c r="J51" s="567" t="s">
        <v>57</v>
      </c>
      <c r="K51" s="568"/>
      <c r="L51" s="467"/>
      <c r="M51" s="567" t="s">
        <v>57</v>
      </c>
      <c r="N51" s="568"/>
      <c r="O51" s="50"/>
    </row>
    <row r="52" spans="1:15" ht="15" customHeight="1" x14ac:dyDescent="0.2">
      <c r="A52" s="416"/>
      <c r="B52" s="547"/>
      <c r="C52" s="411" t="s">
        <v>1</v>
      </c>
      <c r="D52" s="409"/>
      <c r="E52" s="409"/>
      <c r="F52" s="409"/>
      <c r="G52" s="409"/>
      <c r="H52" s="410"/>
      <c r="I52" s="467"/>
      <c r="J52" s="565"/>
      <c r="K52" s="566"/>
      <c r="L52" s="467"/>
      <c r="M52" s="565"/>
      <c r="N52" s="566"/>
      <c r="O52" s="50"/>
    </row>
    <row r="53" spans="1:15" x14ac:dyDescent="0.2">
      <c r="A53" s="416"/>
      <c r="B53" s="547"/>
      <c r="C53" s="18" t="s">
        <v>266</v>
      </c>
      <c r="D53" s="19" t="s">
        <v>45</v>
      </c>
      <c r="E53" s="19" t="s">
        <v>15</v>
      </c>
      <c r="F53" s="19" t="s">
        <v>14</v>
      </c>
      <c r="G53" s="19" t="s">
        <v>41</v>
      </c>
      <c r="H53" s="20" t="s">
        <v>43</v>
      </c>
      <c r="I53" s="467"/>
      <c r="J53" s="278" t="s">
        <v>48</v>
      </c>
      <c r="K53" s="563"/>
      <c r="L53" s="467"/>
      <c r="M53" s="278" t="s">
        <v>48</v>
      </c>
      <c r="N53" s="31"/>
      <c r="O53" s="50"/>
    </row>
    <row r="54" spans="1:15" ht="16" thickBot="1" x14ac:dyDescent="0.25">
      <c r="A54" s="416"/>
      <c r="B54" s="548"/>
      <c r="C54" s="3"/>
      <c r="D54" s="32"/>
      <c r="E54" s="4"/>
      <c r="F54" s="32"/>
      <c r="G54" s="4"/>
      <c r="H54" s="33"/>
      <c r="I54" s="467"/>
      <c r="J54" s="278" t="s">
        <v>49</v>
      </c>
      <c r="K54" s="564"/>
      <c r="L54" s="467"/>
      <c r="M54" s="278" t="s">
        <v>49</v>
      </c>
      <c r="N54" s="2"/>
      <c r="O54" s="50"/>
    </row>
    <row r="55" spans="1:15" x14ac:dyDescent="0.2">
      <c r="A55" s="416"/>
      <c r="B55" s="411" t="s">
        <v>23</v>
      </c>
      <c r="C55" s="409"/>
      <c r="D55" s="409"/>
      <c r="E55" s="409"/>
      <c r="F55" s="409"/>
      <c r="G55" s="409"/>
      <c r="H55" s="410"/>
      <c r="I55" s="467"/>
      <c r="J55" s="279" t="s">
        <v>50</v>
      </c>
      <c r="K55" s="99"/>
      <c r="L55" s="467"/>
      <c r="M55" s="279" t="s">
        <v>50</v>
      </c>
      <c r="N55" s="100"/>
      <c r="O55" s="50"/>
    </row>
    <row r="56" spans="1:15" x14ac:dyDescent="0.2">
      <c r="A56" s="416"/>
      <c r="B56" s="18" t="s">
        <v>24</v>
      </c>
      <c r="C56" s="19" t="s">
        <v>25</v>
      </c>
      <c r="D56" s="19" t="s">
        <v>28</v>
      </c>
      <c r="E56" s="19" t="s">
        <v>26</v>
      </c>
      <c r="F56" s="19" t="s">
        <v>30</v>
      </c>
      <c r="G56" s="19" t="s">
        <v>27</v>
      </c>
      <c r="H56" s="20" t="s">
        <v>29</v>
      </c>
      <c r="I56" s="467"/>
      <c r="J56" s="278" t="s">
        <v>51</v>
      </c>
      <c r="K56" s="564"/>
      <c r="L56" s="467"/>
      <c r="M56" s="278" t="s">
        <v>51</v>
      </c>
      <c r="N56" s="2"/>
      <c r="O56" s="50"/>
    </row>
    <row r="57" spans="1:15" x14ac:dyDescent="0.2">
      <c r="A57" s="416"/>
      <c r="B57" s="21" t="s">
        <v>31</v>
      </c>
      <c r="D57" s="34"/>
      <c r="F57" s="34"/>
      <c r="H57" s="2"/>
      <c r="I57" s="467"/>
      <c r="J57" s="278" t="s">
        <v>49</v>
      </c>
      <c r="K57" s="563"/>
      <c r="L57" s="467"/>
      <c r="M57" s="278" t="s">
        <v>49</v>
      </c>
      <c r="N57" s="31"/>
      <c r="O57" s="50"/>
    </row>
    <row r="58" spans="1:15" x14ac:dyDescent="0.2">
      <c r="A58" s="416"/>
      <c r="B58" s="22" t="s">
        <v>32</v>
      </c>
      <c r="C58" s="30"/>
      <c r="D58" s="35"/>
      <c r="E58" s="30"/>
      <c r="F58" s="35"/>
      <c r="G58" s="30"/>
      <c r="H58" s="31"/>
      <c r="I58" s="467"/>
      <c r="J58" s="278" t="s">
        <v>50</v>
      </c>
      <c r="K58" s="564"/>
      <c r="L58" s="467"/>
      <c r="M58" s="278" t="s">
        <v>50</v>
      </c>
      <c r="N58" s="2"/>
      <c r="O58" s="50"/>
    </row>
    <row r="59" spans="1:15" x14ac:dyDescent="0.2">
      <c r="A59" s="416"/>
      <c r="B59" s="22" t="s">
        <v>33</v>
      </c>
      <c r="D59" s="36"/>
      <c r="F59" s="36"/>
      <c r="H59" s="2"/>
      <c r="I59" s="467"/>
      <c r="J59" s="567" t="s">
        <v>54</v>
      </c>
      <c r="K59" s="568"/>
      <c r="L59" s="467"/>
      <c r="M59" s="567" t="s">
        <v>54</v>
      </c>
      <c r="N59" s="568"/>
      <c r="O59" s="50"/>
    </row>
    <row r="60" spans="1:15" x14ac:dyDescent="0.2">
      <c r="A60" s="416"/>
      <c r="B60" s="22" t="s">
        <v>34</v>
      </c>
      <c r="C60" s="30"/>
      <c r="D60" s="35"/>
      <c r="E60" s="30"/>
      <c r="F60" s="35"/>
      <c r="G60" s="30"/>
      <c r="H60" s="31"/>
      <c r="I60" s="467"/>
      <c r="J60" s="565"/>
      <c r="K60" s="566"/>
      <c r="L60" s="467"/>
      <c r="M60" s="565"/>
      <c r="N60" s="566"/>
      <c r="O60" s="50"/>
    </row>
    <row r="61" spans="1:15" x14ac:dyDescent="0.2">
      <c r="A61" s="416"/>
      <c r="B61" s="22" t="s">
        <v>35</v>
      </c>
      <c r="D61" s="36"/>
      <c r="F61" s="36"/>
      <c r="H61" s="2"/>
      <c r="I61" s="467"/>
      <c r="J61" s="278" t="s">
        <v>48</v>
      </c>
      <c r="K61" s="563"/>
      <c r="L61" s="467"/>
      <c r="M61" s="278" t="s">
        <v>48</v>
      </c>
      <c r="N61" s="31"/>
      <c r="O61" s="50"/>
    </row>
    <row r="62" spans="1:15" ht="15" customHeight="1" x14ac:dyDescent="0.2">
      <c r="A62" s="416"/>
      <c r="B62" s="22" t="s">
        <v>36</v>
      </c>
      <c r="C62" s="30"/>
      <c r="D62" s="35"/>
      <c r="E62" s="30"/>
      <c r="F62" s="35"/>
      <c r="G62" s="30"/>
      <c r="H62" s="31"/>
      <c r="I62" s="467"/>
      <c r="J62" s="278" t="s">
        <v>49</v>
      </c>
      <c r="K62" s="564"/>
      <c r="L62" s="467"/>
      <c r="M62" s="278" t="s">
        <v>49</v>
      </c>
      <c r="N62" s="2"/>
      <c r="O62" s="50"/>
    </row>
    <row r="63" spans="1:15" x14ac:dyDescent="0.2">
      <c r="A63" s="416"/>
      <c r="B63" s="22" t="s">
        <v>37</v>
      </c>
      <c r="D63" s="36"/>
      <c r="F63" s="36"/>
      <c r="H63" s="2"/>
      <c r="I63" s="467"/>
      <c r="J63" s="279" t="s">
        <v>50</v>
      </c>
      <c r="K63" s="99"/>
      <c r="L63" s="467"/>
      <c r="M63" s="279" t="s">
        <v>50</v>
      </c>
      <c r="N63" s="100"/>
      <c r="O63" s="50"/>
    </row>
    <row r="64" spans="1:15" x14ac:dyDescent="0.2">
      <c r="A64" s="416"/>
      <c r="B64" s="22" t="s">
        <v>38</v>
      </c>
      <c r="C64" s="30"/>
      <c r="D64" s="35"/>
      <c r="E64" s="30"/>
      <c r="F64" s="35"/>
      <c r="G64" s="30"/>
      <c r="H64" s="31"/>
      <c r="I64" s="467"/>
      <c r="J64" s="278" t="s">
        <v>51</v>
      </c>
      <c r="K64" s="564"/>
      <c r="L64" s="467"/>
      <c r="M64" s="278" t="s">
        <v>51</v>
      </c>
      <c r="N64" s="2"/>
      <c r="O64" s="50"/>
    </row>
    <row r="65" spans="1:15" x14ac:dyDescent="0.2">
      <c r="A65" s="416"/>
      <c r="B65" s="22" t="s">
        <v>39</v>
      </c>
      <c r="D65" s="36"/>
      <c r="F65" s="36"/>
      <c r="H65" s="2"/>
      <c r="I65" s="467"/>
      <c r="J65" s="278" t="s">
        <v>49</v>
      </c>
      <c r="K65" s="563"/>
      <c r="L65" s="467"/>
      <c r="M65" s="278" t="s">
        <v>49</v>
      </c>
      <c r="N65" s="31"/>
      <c r="O65" s="50"/>
    </row>
    <row r="66" spans="1:15" ht="15" customHeight="1" thickBot="1" x14ac:dyDescent="0.25">
      <c r="A66" s="416"/>
      <c r="B66" s="23" t="s">
        <v>40</v>
      </c>
      <c r="C66" s="32"/>
      <c r="D66" s="37"/>
      <c r="E66" s="32"/>
      <c r="F66" s="37"/>
      <c r="G66" s="32"/>
      <c r="H66" s="33"/>
      <c r="I66" s="467"/>
      <c r="J66" s="278" t="s">
        <v>50</v>
      </c>
      <c r="K66" s="564"/>
      <c r="L66" s="467"/>
      <c r="M66" s="278" t="s">
        <v>50</v>
      </c>
      <c r="N66" s="2"/>
      <c r="O66" s="50"/>
    </row>
    <row r="67" spans="1:15" x14ac:dyDescent="0.2">
      <c r="A67" s="416"/>
      <c r="B67" s="546" t="s">
        <v>62</v>
      </c>
      <c r="C67" s="411" t="s">
        <v>376</v>
      </c>
      <c r="D67" s="409"/>
      <c r="E67" s="409"/>
      <c r="F67" s="409"/>
      <c r="G67" s="409"/>
      <c r="H67" s="410"/>
      <c r="I67" s="467"/>
      <c r="J67" s="567" t="s">
        <v>55</v>
      </c>
      <c r="K67" s="568"/>
      <c r="L67" s="467"/>
      <c r="M67" s="567" t="s">
        <v>55</v>
      </c>
      <c r="N67" s="568"/>
      <c r="O67" s="50"/>
    </row>
    <row r="68" spans="1:15" x14ac:dyDescent="0.2">
      <c r="A68" s="416"/>
      <c r="B68" s="547"/>
      <c r="C68" s="529" t="s">
        <v>432</v>
      </c>
      <c r="D68" s="530"/>
      <c r="E68" s="530" t="s">
        <v>433</v>
      </c>
      <c r="F68" s="530"/>
      <c r="G68" s="530" t="s">
        <v>434</v>
      </c>
      <c r="H68" s="531"/>
      <c r="I68" s="467"/>
      <c r="J68" s="565"/>
      <c r="K68" s="566"/>
      <c r="L68" s="467"/>
      <c r="M68" s="565"/>
      <c r="N68" s="566"/>
      <c r="O68" s="50"/>
    </row>
    <row r="69" spans="1:15" x14ac:dyDescent="0.2">
      <c r="A69" s="48"/>
      <c r="B69" s="547"/>
      <c r="C69" s="21" t="s">
        <v>425</v>
      </c>
      <c r="D69" s="165"/>
      <c r="E69" s="24" t="s">
        <v>263</v>
      </c>
      <c r="F69" s="165"/>
      <c r="G69" s="24" t="s">
        <v>5</v>
      </c>
      <c r="H69" s="164"/>
      <c r="I69" s="467"/>
      <c r="J69" s="278" t="s">
        <v>48</v>
      </c>
      <c r="K69" s="563"/>
      <c r="L69" s="467"/>
      <c r="M69" s="278" t="s">
        <v>48</v>
      </c>
      <c r="N69" s="31"/>
      <c r="O69" s="50"/>
    </row>
    <row r="70" spans="1:15" x14ac:dyDescent="0.2">
      <c r="A70" s="48"/>
      <c r="B70" s="547"/>
      <c r="C70" s="22" t="s">
        <v>6</v>
      </c>
      <c r="D70" s="30"/>
      <c r="E70" s="25" t="s">
        <v>329</v>
      </c>
      <c r="F70" s="30"/>
      <c r="G70" s="25" t="s">
        <v>6</v>
      </c>
      <c r="H70" s="31"/>
      <c r="I70" s="467"/>
      <c r="J70" s="278" t="s">
        <v>49</v>
      </c>
      <c r="K70" s="564"/>
      <c r="L70" s="467"/>
      <c r="M70" s="278" t="s">
        <v>49</v>
      </c>
      <c r="N70" s="2"/>
      <c r="O70" s="50"/>
    </row>
    <row r="71" spans="1:15" ht="16" thickBot="1" x14ac:dyDescent="0.25">
      <c r="A71" s="48"/>
      <c r="B71" s="547"/>
      <c r="C71" s="23" t="s">
        <v>424</v>
      </c>
      <c r="D71" s="4"/>
      <c r="E71" s="26" t="s">
        <v>7</v>
      </c>
      <c r="F71" s="4"/>
      <c r="G71" s="26" t="s">
        <v>7</v>
      </c>
      <c r="H71" s="5"/>
      <c r="I71" s="467"/>
      <c r="J71" s="279" t="s">
        <v>50</v>
      </c>
      <c r="K71" s="99"/>
      <c r="L71" s="467"/>
      <c r="M71" s="279" t="s">
        <v>50</v>
      </c>
      <c r="N71" s="100"/>
      <c r="O71" s="50"/>
    </row>
    <row r="72" spans="1:15" x14ac:dyDescent="0.2">
      <c r="A72" s="48"/>
      <c r="B72" s="547"/>
      <c r="C72" s="411" t="s">
        <v>12</v>
      </c>
      <c r="D72" s="409"/>
      <c r="E72" s="409"/>
      <c r="F72" s="409"/>
      <c r="G72" s="525" t="s">
        <v>2</v>
      </c>
      <c r="H72" s="321"/>
      <c r="I72" s="467"/>
      <c r="J72" s="278" t="s">
        <v>51</v>
      </c>
      <c r="K72" s="564"/>
      <c r="L72" s="467"/>
      <c r="M72" s="278" t="s">
        <v>51</v>
      </c>
      <c r="N72" s="2"/>
      <c r="O72" s="50"/>
    </row>
    <row r="73" spans="1:15" x14ac:dyDescent="0.2">
      <c r="A73" s="48"/>
      <c r="B73" s="547"/>
      <c r="C73" s="532" t="s">
        <v>426</v>
      </c>
      <c r="D73" s="533"/>
      <c r="E73" s="533" t="s">
        <v>427</v>
      </c>
      <c r="F73" s="533"/>
      <c r="G73" s="544"/>
      <c r="H73" s="545"/>
      <c r="I73" s="467"/>
      <c r="J73" s="278" t="s">
        <v>49</v>
      </c>
      <c r="K73" s="563"/>
      <c r="L73" s="467"/>
      <c r="M73" s="278" t="s">
        <v>49</v>
      </c>
      <c r="N73" s="31"/>
      <c r="O73" s="50"/>
    </row>
    <row r="74" spans="1:15" ht="16" thickBot="1" x14ac:dyDescent="0.25">
      <c r="A74" s="48"/>
      <c r="B74" s="547"/>
      <c r="C74" s="22" t="s">
        <v>425</v>
      </c>
      <c r="E74" s="25" t="s">
        <v>425</v>
      </c>
      <c r="G74" s="22" t="s">
        <v>18</v>
      </c>
      <c r="H74" s="31"/>
      <c r="I74" s="468"/>
      <c r="J74" s="281" t="s">
        <v>50</v>
      </c>
      <c r="K74" s="4"/>
      <c r="L74" s="468"/>
      <c r="M74" s="281" t="s">
        <v>50</v>
      </c>
      <c r="N74" s="5"/>
      <c r="O74" s="50"/>
    </row>
    <row r="75" spans="1:15" x14ac:dyDescent="0.2">
      <c r="A75" s="48"/>
      <c r="B75" s="547"/>
      <c r="C75" s="22" t="s">
        <v>6</v>
      </c>
      <c r="D75" s="30"/>
      <c r="E75" s="25" t="s">
        <v>6</v>
      </c>
      <c r="F75" s="30"/>
      <c r="G75" s="22" t="s">
        <v>19</v>
      </c>
      <c r="H75" s="2"/>
      <c r="I75" s="181"/>
      <c r="J75" s="181"/>
      <c r="K75" s="181"/>
      <c r="L75" s="181"/>
      <c r="M75" s="181"/>
      <c r="N75" s="181"/>
      <c r="O75" s="50"/>
    </row>
    <row r="76" spans="1:15" ht="16" thickBot="1" x14ac:dyDescent="0.25">
      <c r="A76" s="48"/>
      <c r="B76" s="547"/>
      <c r="C76" s="23" t="s">
        <v>7</v>
      </c>
      <c r="D76" s="4"/>
      <c r="E76" s="26" t="s">
        <v>7</v>
      </c>
      <c r="F76" s="4"/>
      <c r="G76" s="23" t="s">
        <v>20</v>
      </c>
      <c r="H76" s="33"/>
      <c r="I76" s="181"/>
      <c r="J76" s="181"/>
      <c r="K76" s="181"/>
      <c r="L76" s="181"/>
      <c r="M76" s="181"/>
      <c r="N76" s="181"/>
      <c r="O76" s="50"/>
    </row>
    <row r="77" spans="1:15" ht="16" thickBot="1" x14ac:dyDescent="0.25">
      <c r="A77" s="48"/>
      <c r="B77" s="547"/>
      <c r="C77" s="523" t="s">
        <v>0</v>
      </c>
      <c r="D77" s="524"/>
      <c r="E77" s="133" t="s">
        <v>267</v>
      </c>
      <c r="F77" s="135"/>
      <c r="G77" s="133" t="s">
        <v>268</v>
      </c>
      <c r="H77" s="134"/>
      <c r="I77" s="181"/>
      <c r="J77" s="181"/>
      <c r="K77" s="181"/>
      <c r="L77" s="181"/>
      <c r="M77" s="181"/>
      <c r="N77" s="181"/>
      <c r="O77" s="50"/>
    </row>
    <row r="78" spans="1:15" x14ac:dyDescent="0.2">
      <c r="A78" s="48"/>
      <c r="B78" s="547"/>
      <c r="C78" s="525" t="s">
        <v>262</v>
      </c>
      <c r="D78" s="320"/>
      <c r="E78" s="320"/>
      <c r="F78" s="320"/>
      <c r="G78" s="320"/>
      <c r="H78" s="321"/>
      <c r="I78" s="181"/>
      <c r="J78" s="181"/>
      <c r="K78" s="181"/>
      <c r="L78" s="181"/>
      <c r="M78" s="181"/>
      <c r="N78" s="181"/>
      <c r="O78" s="50"/>
    </row>
    <row r="79" spans="1:15" x14ac:dyDescent="0.2">
      <c r="A79" s="48"/>
      <c r="B79" s="547"/>
      <c r="C79" s="27" t="s">
        <v>263</v>
      </c>
      <c r="D79" s="28" t="s">
        <v>132</v>
      </c>
      <c r="E79" s="28" t="s">
        <v>264</v>
      </c>
      <c r="F79" s="28" t="s">
        <v>22</v>
      </c>
      <c r="G79" s="28" t="s">
        <v>259</v>
      </c>
      <c r="H79" s="29" t="s">
        <v>97</v>
      </c>
      <c r="I79" s="181"/>
      <c r="J79" s="181"/>
      <c r="K79" s="181"/>
      <c r="L79" s="181"/>
      <c r="M79" s="181"/>
      <c r="N79" s="181"/>
      <c r="O79" s="50"/>
    </row>
    <row r="80" spans="1:15" ht="16" thickBot="1" x14ac:dyDescent="0.25">
      <c r="A80" s="48"/>
      <c r="B80" s="547"/>
      <c r="C80" s="1"/>
      <c r="D80" s="30"/>
      <c r="F80" s="30"/>
      <c r="H80" s="31"/>
      <c r="I80" s="181"/>
      <c r="J80" s="181"/>
      <c r="K80" s="181"/>
      <c r="L80" s="181"/>
      <c r="M80" s="181"/>
      <c r="N80" s="181"/>
      <c r="O80" s="50"/>
    </row>
    <row r="81" spans="1:15" x14ac:dyDescent="0.2">
      <c r="A81" s="48"/>
      <c r="B81" s="547"/>
      <c r="C81" s="525" t="s">
        <v>265</v>
      </c>
      <c r="D81" s="320"/>
      <c r="E81" s="320"/>
      <c r="F81" s="320"/>
      <c r="G81" s="320"/>
      <c r="H81" s="321"/>
      <c r="I81" s="181"/>
      <c r="J81" s="181"/>
      <c r="K81" s="181"/>
      <c r="L81" s="181"/>
      <c r="M81" s="181"/>
      <c r="N81" s="181"/>
      <c r="O81" s="50"/>
    </row>
    <row r="82" spans="1:15" x14ac:dyDescent="0.2">
      <c r="A82" s="48"/>
      <c r="B82" s="547"/>
      <c r="C82" s="27" t="s">
        <v>263</v>
      </c>
      <c r="D82" s="28" t="s">
        <v>132</v>
      </c>
      <c r="E82" s="28" t="s">
        <v>264</v>
      </c>
      <c r="F82" s="28" t="s">
        <v>22</v>
      </c>
      <c r="G82" s="28" t="s">
        <v>259</v>
      </c>
      <c r="H82" s="29" t="s">
        <v>97</v>
      </c>
      <c r="I82" s="181"/>
      <c r="J82" s="181"/>
      <c r="K82" s="181"/>
      <c r="L82" s="181"/>
      <c r="M82" s="181"/>
      <c r="N82" s="181"/>
      <c r="O82" s="50"/>
    </row>
    <row r="83" spans="1:15" ht="16" thickBot="1" x14ac:dyDescent="0.25">
      <c r="A83" s="48"/>
      <c r="B83" s="547"/>
      <c r="C83" s="160"/>
      <c r="D83" s="30"/>
      <c r="F83" s="30"/>
      <c r="H83" s="31"/>
      <c r="I83" s="181"/>
      <c r="J83" s="181"/>
      <c r="K83" s="181"/>
      <c r="L83" s="181"/>
      <c r="M83" s="181"/>
      <c r="N83" s="181"/>
      <c r="O83" s="50"/>
    </row>
    <row r="84" spans="1:15" x14ac:dyDescent="0.2">
      <c r="A84" s="48"/>
      <c r="B84" s="547"/>
      <c r="C84" s="411" t="s">
        <v>1</v>
      </c>
      <c r="D84" s="409"/>
      <c r="E84" s="409"/>
      <c r="F84" s="409"/>
      <c r="G84" s="409"/>
      <c r="H84" s="410"/>
      <c r="I84" s="181"/>
      <c r="J84" s="181"/>
      <c r="K84" s="181"/>
      <c r="L84" s="181"/>
      <c r="M84" s="181"/>
      <c r="N84" s="181"/>
      <c r="O84" s="50"/>
    </row>
    <row r="85" spans="1:15" x14ac:dyDescent="0.2">
      <c r="A85" s="48"/>
      <c r="B85" s="547"/>
      <c r="C85" s="18" t="s">
        <v>266</v>
      </c>
      <c r="D85" s="19" t="s">
        <v>45</v>
      </c>
      <c r="E85" s="19" t="s">
        <v>15</v>
      </c>
      <c r="F85" s="19" t="s">
        <v>14</v>
      </c>
      <c r="G85" s="19" t="s">
        <v>41</v>
      </c>
      <c r="H85" s="20" t="s">
        <v>43</v>
      </c>
      <c r="I85" s="181"/>
      <c r="J85" s="181"/>
      <c r="K85" s="181"/>
      <c r="L85" s="181"/>
      <c r="M85" s="181"/>
      <c r="N85" s="181"/>
      <c r="O85" s="50"/>
    </row>
    <row r="86" spans="1:15" ht="16" thickBot="1" x14ac:dyDescent="0.25">
      <c r="A86" s="48"/>
      <c r="B86" s="548"/>
      <c r="C86" s="3"/>
      <c r="D86" s="32"/>
      <c r="E86" s="4"/>
      <c r="F86" s="32"/>
      <c r="G86" s="4"/>
      <c r="H86" s="33"/>
      <c r="I86" s="181"/>
      <c r="J86" s="181"/>
      <c r="K86" s="181"/>
      <c r="L86" s="181"/>
      <c r="M86" s="181"/>
      <c r="N86" s="181"/>
      <c r="O86" s="50"/>
    </row>
    <row r="87" spans="1:15" x14ac:dyDescent="0.2">
      <c r="A87" s="48"/>
      <c r="B87" s="411" t="s">
        <v>23</v>
      </c>
      <c r="C87" s="409"/>
      <c r="D87" s="409"/>
      <c r="E87" s="409"/>
      <c r="F87" s="409"/>
      <c r="G87" s="409"/>
      <c r="H87" s="410"/>
      <c r="I87" s="181"/>
      <c r="J87" s="181"/>
      <c r="K87" s="181"/>
      <c r="L87" s="181"/>
      <c r="M87" s="181"/>
      <c r="N87" s="181"/>
      <c r="O87" s="50"/>
    </row>
    <row r="88" spans="1:15" x14ac:dyDescent="0.2">
      <c r="A88" s="48"/>
      <c r="B88" s="18" t="s">
        <v>24</v>
      </c>
      <c r="C88" s="19" t="s">
        <v>25</v>
      </c>
      <c r="D88" s="19" t="s">
        <v>28</v>
      </c>
      <c r="E88" s="19" t="s">
        <v>26</v>
      </c>
      <c r="F88" s="19" t="s">
        <v>30</v>
      </c>
      <c r="G88" s="19" t="s">
        <v>27</v>
      </c>
      <c r="H88" s="20" t="s">
        <v>29</v>
      </c>
      <c r="I88" s="181"/>
      <c r="J88" s="181"/>
      <c r="K88" s="181"/>
      <c r="L88" s="181"/>
      <c r="M88" s="181"/>
      <c r="N88" s="181"/>
      <c r="O88" s="50"/>
    </row>
    <row r="89" spans="1:15" x14ac:dyDescent="0.2">
      <c r="A89" s="48"/>
      <c r="B89" s="21" t="s">
        <v>31</v>
      </c>
      <c r="D89" s="34"/>
      <c r="F89" s="34"/>
      <c r="H89" s="2"/>
      <c r="I89" s="181"/>
      <c r="J89" s="181"/>
      <c r="K89" s="181"/>
      <c r="L89" s="181"/>
      <c r="M89" s="181"/>
      <c r="N89" s="181"/>
      <c r="O89" s="50"/>
    </row>
    <row r="90" spans="1:15" x14ac:dyDescent="0.2">
      <c r="A90" s="48"/>
      <c r="B90" s="22" t="s">
        <v>32</v>
      </c>
      <c r="C90" s="30"/>
      <c r="D90" s="35"/>
      <c r="E90" s="30"/>
      <c r="F90" s="35"/>
      <c r="G90" s="30"/>
      <c r="H90" s="31"/>
      <c r="I90" s="181"/>
      <c r="J90" s="181"/>
      <c r="K90" s="181"/>
      <c r="L90" s="181"/>
      <c r="M90" s="181"/>
      <c r="N90" s="181"/>
      <c r="O90" s="50"/>
    </row>
    <row r="91" spans="1:15" x14ac:dyDescent="0.2">
      <c r="A91" s="48"/>
      <c r="B91" s="22" t="s">
        <v>33</v>
      </c>
      <c r="D91" s="36"/>
      <c r="F91" s="36"/>
      <c r="H91" s="2"/>
      <c r="I91" s="181"/>
      <c r="J91" s="181"/>
      <c r="K91" s="181"/>
      <c r="L91" s="181"/>
      <c r="M91" s="181"/>
      <c r="N91" s="181"/>
      <c r="O91" s="50"/>
    </row>
    <row r="92" spans="1:15" x14ac:dyDescent="0.2">
      <c r="A92" s="48"/>
      <c r="B92" s="22" t="s">
        <v>34</v>
      </c>
      <c r="C92" s="30"/>
      <c r="D92" s="35"/>
      <c r="E92" s="30"/>
      <c r="F92" s="35"/>
      <c r="G92" s="30"/>
      <c r="H92" s="31"/>
      <c r="I92" s="181"/>
      <c r="J92" s="181"/>
      <c r="K92" s="181"/>
      <c r="L92" s="181"/>
      <c r="M92" s="181"/>
      <c r="N92" s="181"/>
      <c r="O92" s="50"/>
    </row>
    <row r="93" spans="1:15" x14ac:dyDescent="0.2">
      <c r="A93" s="48"/>
      <c r="B93" s="22" t="s">
        <v>35</v>
      </c>
      <c r="D93" s="36"/>
      <c r="F93" s="36"/>
      <c r="H93" s="2"/>
      <c r="I93" s="49"/>
      <c r="J93" s="49"/>
      <c r="K93" s="49"/>
      <c r="L93" s="49"/>
      <c r="M93" s="49"/>
      <c r="N93" s="49"/>
      <c r="O93" s="50"/>
    </row>
    <row r="94" spans="1:15" x14ac:dyDescent="0.2">
      <c r="A94" s="48"/>
      <c r="B94" s="22" t="s">
        <v>36</v>
      </c>
      <c r="C94" s="30"/>
      <c r="D94" s="35"/>
      <c r="E94" s="30"/>
      <c r="F94" s="35"/>
      <c r="G94" s="30"/>
      <c r="H94" s="31"/>
      <c r="I94" s="49"/>
      <c r="J94" s="49"/>
      <c r="K94" s="49"/>
      <c r="L94" s="49"/>
      <c r="M94" s="49"/>
      <c r="N94" s="49"/>
      <c r="O94" s="50"/>
    </row>
    <row r="95" spans="1:15" x14ac:dyDescent="0.2">
      <c r="A95" s="48"/>
      <c r="B95" s="22" t="s">
        <v>37</v>
      </c>
      <c r="D95" s="36"/>
      <c r="F95" s="36"/>
      <c r="H95" s="2"/>
      <c r="I95" s="49"/>
      <c r="J95" s="49"/>
      <c r="K95" s="49"/>
      <c r="L95" s="49"/>
      <c r="M95" s="49"/>
      <c r="N95" s="49"/>
      <c r="O95" s="50"/>
    </row>
    <row r="96" spans="1:15" x14ac:dyDescent="0.2">
      <c r="A96" s="48"/>
      <c r="B96" s="22" t="s">
        <v>38</v>
      </c>
      <c r="C96" s="30"/>
      <c r="D96" s="35"/>
      <c r="E96" s="30"/>
      <c r="F96" s="35"/>
      <c r="G96" s="30"/>
      <c r="H96" s="31"/>
      <c r="I96" s="49"/>
      <c r="J96" s="49"/>
      <c r="K96" s="49"/>
      <c r="L96" s="49"/>
      <c r="M96" s="49"/>
      <c r="N96" s="49"/>
      <c r="O96" s="50"/>
    </row>
    <row r="97" spans="1:15" x14ac:dyDescent="0.2">
      <c r="A97" s="48"/>
      <c r="B97" s="22" t="s">
        <v>39</v>
      </c>
      <c r="D97" s="36"/>
      <c r="F97" s="36"/>
      <c r="H97" s="2"/>
      <c r="I97" s="49"/>
      <c r="J97" s="49"/>
      <c r="K97" s="49"/>
      <c r="L97" s="49"/>
      <c r="M97" s="49"/>
      <c r="N97" s="49"/>
      <c r="O97" s="50"/>
    </row>
    <row r="98" spans="1:15" ht="16" thickBot="1" x14ac:dyDescent="0.25">
      <c r="A98" s="51"/>
      <c r="B98" s="23" t="s">
        <v>40</v>
      </c>
      <c r="C98" s="32"/>
      <c r="D98" s="37"/>
      <c r="E98" s="32"/>
      <c r="F98" s="37"/>
      <c r="G98" s="32"/>
      <c r="H98" s="33"/>
      <c r="I98" s="52"/>
      <c r="J98" s="52"/>
      <c r="K98" s="52"/>
      <c r="L98" s="52"/>
      <c r="M98" s="52"/>
      <c r="N98" s="52"/>
      <c r="O98" s="53"/>
    </row>
  </sheetData>
  <mergeCells count="67">
    <mergeCell ref="J51:K52"/>
    <mergeCell ref="M51:N52"/>
    <mergeCell ref="J59:K60"/>
    <mergeCell ref="M59:N60"/>
    <mergeCell ref="J67:K68"/>
    <mergeCell ref="M67:N68"/>
    <mergeCell ref="J27:K28"/>
    <mergeCell ref="M27:N28"/>
    <mergeCell ref="J35:K36"/>
    <mergeCell ref="M35:N36"/>
    <mergeCell ref="J43:K44"/>
    <mergeCell ref="M43:N44"/>
    <mergeCell ref="F1:G1"/>
    <mergeCell ref="J3:K4"/>
    <mergeCell ref="M3:N4"/>
    <mergeCell ref="J11:K12"/>
    <mergeCell ref="M11:N12"/>
    <mergeCell ref="E9:F9"/>
    <mergeCell ref="C13:D13"/>
    <mergeCell ref="C45:D45"/>
    <mergeCell ref="C46:H46"/>
    <mergeCell ref="C14:H14"/>
    <mergeCell ref="C17:H17"/>
    <mergeCell ref="C20:H20"/>
    <mergeCell ref="B23:H23"/>
    <mergeCell ref="B35:B54"/>
    <mergeCell ref="C35:H35"/>
    <mergeCell ref="C36:D36"/>
    <mergeCell ref="E36:F36"/>
    <mergeCell ref="G36:H36"/>
    <mergeCell ref="C40:F40"/>
    <mergeCell ref="G40:H41"/>
    <mergeCell ref="L43:L74"/>
    <mergeCell ref="J19:K20"/>
    <mergeCell ref="M19:N20"/>
    <mergeCell ref="A2:N2"/>
    <mergeCell ref="A3:A68"/>
    <mergeCell ref="B3:B22"/>
    <mergeCell ref="C3:H3"/>
    <mergeCell ref="I3:I42"/>
    <mergeCell ref="L3:L42"/>
    <mergeCell ref="C4:D4"/>
    <mergeCell ref="E4:F4"/>
    <mergeCell ref="G4:H4"/>
    <mergeCell ref="C8:F8"/>
    <mergeCell ref="G8:H9"/>
    <mergeCell ref="C9:D9"/>
    <mergeCell ref="C41:D41"/>
    <mergeCell ref="E41:F41"/>
    <mergeCell ref="I43:I74"/>
    <mergeCell ref="C49:H49"/>
    <mergeCell ref="C52:H52"/>
    <mergeCell ref="C68:D68"/>
    <mergeCell ref="E68:F68"/>
    <mergeCell ref="G68:H68"/>
    <mergeCell ref="C72:F72"/>
    <mergeCell ref="G72:H73"/>
    <mergeCell ref="C73:D73"/>
    <mergeCell ref="E73:F73"/>
    <mergeCell ref="B87:H87"/>
    <mergeCell ref="B55:H55"/>
    <mergeCell ref="B67:B86"/>
    <mergeCell ref="C67:H67"/>
    <mergeCell ref="C77:D77"/>
    <mergeCell ref="C78:H78"/>
    <mergeCell ref="C81:H81"/>
    <mergeCell ref="C84:H84"/>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B4D5F-B408-448F-AF0C-FD28CE7B3F49}">
  <sheetPr codeName="Sheet14">
    <tabColor theme="4"/>
  </sheetPr>
  <dimension ref="A1:F500"/>
  <sheetViews>
    <sheetView workbookViewId="0">
      <selection activeCell="A5" sqref="A5"/>
    </sheetView>
  </sheetViews>
  <sheetFormatPr baseColWidth="10" defaultColWidth="8.83203125" defaultRowHeight="15" x14ac:dyDescent="0.2"/>
  <cols>
    <col min="1" max="1" width="37" customWidth="1"/>
    <col min="2" max="2" width="10.5" customWidth="1"/>
  </cols>
  <sheetData>
    <row r="1" spans="1:6" ht="38" thickBot="1" x14ac:dyDescent="0.5">
      <c r="A1" s="557" t="s">
        <v>88</v>
      </c>
      <c r="B1" s="558"/>
      <c r="C1" s="558"/>
      <c r="D1" s="558"/>
      <c r="E1" s="558"/>
      <c r="F1" s="559"/>
    </row>
    <row r="2" spans="1:6" x14ac:dyDescent="0.2">
      <c r="A2" s="105" t="s">
        <v>68</v>
      </c>
      <c r="B2" s="554" t="s">
        <v>89</v>
      </c>
      <c r="C2" s="555"/>
      <c r="D2" s="555"/>
      <c r="E2" s="555"/>
      <c r="F2" s="556"/>
    </row>
    <row r="3" spans="1:6" ht="16" x14ac:dyDescent="0.2">
      <c r="A3" s="106" t="s">
        <v>133</v>
      </c>
      <c r="B3" s="103" t="s">
        <v>129</v>
      </c>
      <c r="C3" s="56"/>
      <c r="D3" s="56"/>
      <c r="E3" s="56"/>
      <c r="F3" s="104"/>
    </row>
    <row r="4" spans="1:6" ht="16" x14ac:dyDescent="0.2">
      <c r="A4" s="106" t="s">
        <v>134</v>
      </c>
      <c r="B4" s="103" t="s">
        <v>130</v>
      </c>
      <c r="C4" s="56"/>
      <c r="D4" s="56"/>
      <c r="E4" s="56"/>
      <c r="F4" s="104"/>
    </row>
    <row r="5" spans="1:6" ht="16" x14ac:dyDescent="0.2">
      <c r="A5" s="106" t="s">
        <v>135</v>
      </c>
      <c r="B5" s="103" t="s">
        <v>129</v>
      </c>
      <c r="C5" s="56" t="s">
        <v>127</v>
      </c>
      <c r="D5" s="56"/>
      <c r="E5" s="56"/>
      <c r="F5" s="104"/>
    </row>
    <row r="6" spans="1:6" ht="16" x14ac:dyDescent="0.2">
      <c r="A6" s="106" t="s">
        <v>136</v>
      </c>
      <c r="B6" s="103" t="s">
        <v>137</v>
      </c>
      <c r="C6" s="56"/>
      <c r="D6" s="56"/>
      <c r="E6" s="56"/>
      <c r="F6" s="104"/>
    </row>
    <row r="7" spans="1:6" ht="16" x14ac:dyDescent="0.2">
      <c r="A7" s="106" t="s">
        <v>138</v>
      </c>
      <c r="B7" s="103" t="s">
        <v>139</v>
      </c>
      <c r="C7" s="56"/>
      <c r="D7" s="56"/>
      <c r="E7" s="56"/>
      <c r="F7" s="104"/>
    </row>
    <row r="8" spans="1:6" ht="16" x14ac:dyDescent="0.2">
      <c r="A8" s="106" t="s">
        <v>140</v>
      </c>
      <c r="B8" s="103" t="s">
        <v>127</v>
      </c>
      <c r="C8" s="56"/>
      <c r="D8" s="56"/>
      <c r="E8" s="56"/>
      <c r="F8" s="104"/>
    </row>
    <row r="9" spans="1:6" ht="16" x14ac:dyDescent="0.2">
      <c r="A9" s="106" t="s">
        <v>141</v>
      </c>
      <c r="B9" s="103" t="s">
        <v>127</v>
      </c>
      <c r="C9" s="56"/>
      <c r="D9" s="56"/>
      <c r="E9" s="56"/>
      <c r="F9" s="104"/>
    </row>
    <row r="10" spans="1:6" ht="16" x14ac:dyDescent="0.2">
      <c r="A10" s="106" t="s">
        <v>142</v>
      </c>
      <c r="B10" s="103" t="s">
        <v>127</v>
      </c>
      <c r="C10" s="56"/>
      <c r="D10" s="56"/>
      <c r="E10" s="56"/>
      <c r="F10" s="104"/>
    </row>
    <row r="11" spans="1:6" ht="16" x14ac:dyDescent="0.2">
      <c r="A11" s="106" t="s">
        <v>143</v>
      </c>
      <c r="B11" s="103" t="s">
        <v>128</v>
      </c>
      <c r="C11" s="56"/>
      <c r="D11" s="56"/>
      <c r="E11" s="56"/>
      <c r="F11" s="104"/>
    </row>
    <row r="12" spans="1:6" ht="16" x14ac:dyDescent="0.2">
      <c r="A12" s="106" t="s">
        <v>144</v>
      </c>
      <c r="B12" s="103" t="s">
        <v>137</v>
      </c>
      <c r="C12" s="56"/>
      <c r="D12" s="56"/>
      <c r="E12" s="56"/>
      <c r="F12" s="104"/>
    </row>
    <row r="13" spans="1:6" ht="16" x14ac:dyDescent="0.2">
      <c r="A13" s="106" t="s">
        <v>145</v>
      </c>
      <c r="B13" s="103" t="s">
        <v>129</v>
      </c>
      <c r="C13" s="56"/>
      <c r="D13" s="56"/>
      <c r="E13" s="56"/>
      <c r="F13" s="104"/>
    </row>
    <row r="14" spans="1:6" ht="16" x14ac:dyDescent="0.2">
      <c r="A14" s="106" t="s">
        <v>146</v>
      </c>
      <c r="B14" s="103" t="s">
        <v>129</v>
      </c>
      <c r="C14" s="56"/>
      <c r="D14" s="56"/>
      <c r="E14" s="56"/>
      <c r="F14" s="104"/>
    </row>
    <row r="15" spans="1:6" ht="16" x14ac:dyDescent="0.2">
      <c r="A15" s="106" t="s">
        <v>147</v>
      </c>
      <c r="B15" s="103" t="s">
        <v>130</v>
      </c>
      <c r="C15" s="56"/>
      <c r="D15" s="56"/>
      <c r="E15" s="56"/>
      <c r="F15" s="104"/>
    </row>
    <row r="16" spans="1:6" ht="16" x14ac:dyDescent="0.2">
      <c r="A16" s="106" t="s">
        <v>148</v>
      </c>
      <c r="B16" s="103" t="s">
        <v>149</v>
      </c>
      <c r="C16" s="56"/>
      <c r="D16" s="56"/>
      <c r="E16" s="56"/>
      <c r="F16" s="104"/>
    </row>
    <row r="17" spans="1:6" ht="16" x14ac:dyDescent="0.2">
      <c r="A17" s="106" t="s">
        <v>150</v>
      </c>
      <c r="B17" s="103" t="s">
        <v>149</v>
      </c>
      <c r="C17" s="56"/>
      <c r="D17" s="56"/>
      <c r="E17" s="56"/>
      <c r="F17" s="104"/>
    </row>
    <row r="18" spans="1:6" ht="16" x14ac:dyDescent="0.2">
      <c r="A18" s="106" t="s">
        <v>151</v>
      </c>
      <c r="B18" s="103" t="s">
        <v>129</v>
      </c>
      <c r="C18" s="56"/>
      <c r="D18" s="56"/>
      <c r="E18" s="56"/>
      <c r="F18" s="104"/>
    </row>
    <row r="19" spans="1:6" ht="16" x14ac:dyDescent="0.2">
      <c r="A19" s="106" t="s">
        <v>152</v>
      </c>
      <c r="B19" s="103" t="s">
        <v>153</v>
      </c>
      <c r="C19" s="56" t="s">
        <v>154</v>
      </c>
      <c r="D19" s="56" t="s">
        <v>155</v>
      </c>
      <c r="E19" s="56"/>
      <c r="F19" s="104"/>
    </row>
    <row r="20" spans="1:6" ht="16" x14ac:dyDescent="0.2">
      <c r="A20" s="106" t="s">
        <v>156</v>
      </c>
      <c r="B20" s="103" t="s">
        <v>130</v>
      </c>
      <c r="C20" s="56"/>
      <c r="D20" s="56"/>
      <c r="E20" s="56"/>
      <c r="F20" s="104"/>
    </row>
    <row r="21" spans="1:6" ht="16" x14ac:dyDescent="0.2">
      <c r="A21" s="106" t="s">
        <v>157</v>
      </c>
      <c r="B21" s="103" t="s">
        <v>130</v>
      </c>
      <c r="C21" s="56"/>
      <c r="D21" s="56"/>
      <c r="E21" s="56"/>
      <c r="F21" s="104"/>
    </row>
    <row r="22" spans="1:6" ht="16" x14ac:dyDescent="0.2">
      <c r="A22" s="106" t="s">
        <v>158</v>
      </c>
      <c r="B22" s="103" t="s">
        <v>130</v>
      </c>
      <c r="C22" s="56"/>
      <c r="D22" s="56"/>
      <c r="E22" s="56"/>
      <c r="F22" s="104"/>
    </row>
    <row r="23" spans="1:6" ht="16" x14ac:dyDescent="0.2">
      <c r="A23" s="106" t="s">
        <v>159</v>
      </c>
      <c r="B23" s="103" t="s">
        <v>130</v>
      </c>
      <c r="C23" s="56"/>
      <c r="D23" s="56"/>
      <c r="E23" s="56"/>
      <c r="F23" s="104"/>
    </row>
    <row r="24" spans="1:6" ht="16" x14ac:dyDescent="0.2">
      <c r="A24" s="106" t="s">
        <v>160</v>
      </c>
      <c r="B24" s="103" t="s">
        <v>130</v>
      </c>
      <c r="C24" s="56"/>
      <c r="D24" s="56"/>
      <c r="E24" s="56"/>
      <c r="F24" s="104"/>
    </row>
    <row r="25" spans="1:6" ht="16" x14ac:dyDescent="0.2">
      <c r="A25" s="106" t="s">
        <v>161</v>
      </c>
      <c r="B25" s="103" t="s">
        <v>130</v>
      </c>
      <c r="C25" s="56"/>
      <c r="D25" s="56"/>
      <c r="E25" s="56"/>
      <c r="F25" s="104"/>
    </row>
    <row r="26" spans="1:6" ht="16" x14ac:dyDescent="0.2">
      <c r="A26" s="106" t="s">
        <v>162</v>
      </c>
      <c r="B26" s="103" t="s">
        <v>127</v>
      </c>
      <c r="C26" s="56"/>
      <c r="D26" s="56"/>
      <c r="E26" s="56"/>
      <c r="F26" s="104"/>
    </row>
    <row r="27" spans="1:6" ht="16" x14ac:dyDescent="0.2">
      <c r="A27" s="106" t="s">
        <v>163</v>
      </c>
      <c r="B27" s="103" t="s">
        <v>127</v>
      </c>
      <c r="C27" s="56"/>
      <c r="D27" s="56"/>
      <c r="E27" s="56"/>
      <c r="F27" s="104"/>
    </row>
    <row r="28" spans="1:6" ht="16" x14ac:dyDescent="0.2">
      <c r="A28" s="106" t="s">
        <v>164</v>
      </c>
      <c r="B28" s="103" t="s">
        <v>129</v>
      </c>
      <c r="C28" s="56"/>
      <c r="D28" s="56"/>
      <c r="E28" s="56"/>
      <c r="F28" s="104"/>
    </row>
    <row r="29" spans="1:6" ht="16" x14ac:dyDescent="0.2">
      <c r="A29" s="106" t="s">
        <v>165</v>
      </c>
      <c r="B29" s="103" t="s">
        <v>128</v>
      </c>
      <c r="C29" s="56"/>
      <c r="D29" s="56"/>
      <c r="E29" s="56"/>
      <c r="F29" s="104"/>
    </row>
    <row r="30" spans="1:6" ht="16" x14ac:dyDescent="0.2">
      <c r="A30" s="106" t="s">
        <v>166</v>
      </c>
      <c r="B30" s="103" t="s">
        <v>128</v>
      </c>
      <c r="C30" s="56"/>
      <c r="D30" s="56"/>
      <c r="E30" s="56"/>
      <c r="F30" s="104"/>
    </row>
    <row r="31" spans="1:6" ht="16" x14ac:dyDescent="0.2">
      <c r="A31" s="106" t="s">
        <v>167</v>
      </c>
      <c r="B31" s="103" t="s">
        <v>129</v>
      </c>
      <c r="C31" s="56"/>
      <c r="D31" s="56"/>
      <c r="E31" s="56"/>
      <c r="F31" s="104"/>
    </row>
    <row r="32" spans="1:6" ht="16" x14ac:dyDescent="0.2">
      <c r="A32" s="106" t="s">
        <v>168</v>
      </c>
      <c r="B32" s="103" t="s">
        <v>130</v>
      </c>
      <c r="C32" s="56"/>
      <c r="D32" s="56"/>
      <c r="E32" s="56"/>
      <c r="F32" s="104"/>
    </row>
    <row r="33" spans="1:6" ht="16" x14ac:dyDescent="0.2">
      <c r="A33" s="106" t="s">
        <v>169</v>
      </c>
      <c r="B33" s="103" t="s">
        <v>129</v>
      </c>
      <c r="C33" s="56"/>
      <c r="D33" s="56"/>
      <c r="E33" s="56"/>
      <c r="F33" s="104"/>
    </row>
    <row r="34" spans="1:6" ht="16" x14ac:dyDescent="0.2">
      <c r="A34" s="106" t="s">
        <v>170</v>
      </c>
      <c r="B34" s="103" t="s">
        <v>139</v>
      </c>
      <c r="C34" s="56" t="s">
        <v>127</v>
      </c>
      <c r="D34" s="56" t="s">
        <v>128</v>
      </c>
      <c r="E34" s="56"/>
      <c r="F34" s="104"/>
    </row>
    <row r="35" spans="1:6" ht="16" x14ac:dyDescent="0.2">
      <c r="A35" s="106" t="s">
        <v>171</v>
      </c>
      <c r="B35" s="103" t="s">
        <v>139</v>
      </c>
      <c r="C35" s="56" t="s">
        <v>130</v>
      </c>
      <c r="D35" s="56" t="s">
        <v>129</v>
      </c>
      <c r="E35" s="56" t="s">
        <v>127</v>
      </c>
      <c r="F35" s="104" t="s">
        <v>128</v>
      </c>
    </row>
    <row r="36" spans="1:6" ht="16" x14ac:dyDescent="0.2">
      <c r="A36" s="106" t="s">
        <v>172</v>
      </c>
      <c r="B36" s="103" t="s">
        <v>139</v>
      </c>
      <c r="C36" s="56" t="s">
        <v>127</v>
      </c>
      <c r="D36" s="56"/>
      <c r="E36" s="56"/>
      <c r="F36" s="104"/>
    </row>
    <row r="37" spans="1:6" ht="16" x14ac:dyDescent="0.2">
      <c r="A37" s="106" t="s">
        <v>173</v>
      </c>
      <c r="B37" s="103" t="s">
        <v>130</v>
      </c>
      <c r="C37" s="56" t="s">
        <v>129</v>
      </c>
      <c r="D37" s="56" t="s">
        <v>127</v>
      </c>
      <c r="E37" s="56"/>
      <c r="F37" s="104"/>
    </row>
    <row r="38" spans="1:6" ht="16" x14ac:dyDescent="0.2">
      <c r="A38" s="106" t="s">
        <v>174</v>
      </c>
      <c r="B38" s="103" t="s">
        <v>139</v>
      </c>
      <c r="C38" s="56" t="s">
        <v>127</v>
      </c>
      <c r="D38" s="56"/>
      <c r="E38" s="56"/>
      <c r="F38" s="104"/>
    </row>
    <row r="39" spans="1:6" ht="16" x14ac:dyDescent="0.2">
      <c r="A39" s="106" t="s">
        <v>175</v>
      </c>
      <c r="B39" s="103" t="s">
        <v>139</v>
      </c>
      <c r="C39" s="56"/>
      <c r="D39" s="56"/>
      <c r="E39" s="56"/>
      <c r="F39" s="104"/>
    </row>
    <row r="40" spans="1:6" ht="16" x14ac:dyDescent="0.2">
      <c r="A40" s="106" t="s">
        <v>176</v>
      </c>
      <c r="B40" s="103" t="s">
        <v>128</v>
      </c>
      <c r="C40" s="56"/>
      <c r="D40" s="56"/>
      <c r="E40" s="56"/>
      <c r="F40" s="104"/>
    </row>
    <row r="41" spans="1:6" ht="16" x14ac:dyDescent="0.2">
      <c r="A41" s="106" t="s">
        <v>177</v>
      </c>
      <c r="B41" s="103" t="s">
        <v>130</v>
      </c>
      <c r="C41" s="56"/>
      <c r="D41" s="56"/>
      <c r="E41" s="56"/>
      <c r="F41" s="104"/>
    </row>
    <row r="42" spans="1:6" ht="16" x14ac:dyDescent="0.2">
      <c r="A42" s="106" t="s">
        <v>178</v>
      </c>
      <c r="B42" s="103" t="s">
        <v>127</v>
      </c>
      <c r="C42" s="56"/>
      <c r="D42" s="56"/>
      <c r="E42" s="56"/>
      <c r="F42" s="104"/>
    </row>
    <row r="43" spans="1:6" ht="16" x14ac:dyDescent="0.2">
      <c r="A43" s="106" t="s">
        <v>179</v>
      </c>
      <c r="B43" s="103" t="s">
        <v>127</v>
      </c>
      <c r="C43" s="56"/>
      <c r="D43" s="56"/>
      <c r="E43" s="56"/>
      <c r="F43" s="104"/>
    </row>
    <row r="44" spans="1:6" ht="16" x14ac:dyDescent="0.2">
      <c r="A44" s="106" t="s">
        <v>180</v>
      </c>
      <c r="B44" s="103" t="s">
        <v>129</v>
      </c>
      <c r="C44" s="56" t="s">
        <v>127</v>
      </c>
      <c r="D44" s="56" t="s">
        <v>128</v>
      </c>
      <c r="E44" s="56"/>
      <c r="F44" s="104"/>
    </row>
    <row r="45" spans="1:6" ht="16" x14ac:dyDescent="0.2">
      <c r="A45" s="106" t="s">
        <v>181</v>
      </c>
      <c r="B45" s="103" t="s">
        <v>130</v>
      </c>
      <c r="C45" s="56" t="s">
        <v>128</v>
      </c>
      <c r="D45" s="56"/>
      <c r="E45" s="56"/>
      <c r="F45" s="104"/>
    </row>
    <row r="46" spans="1:6" ht="16" x14ac:dyDescent="0.2">
      <c r="A46" s="106" t="s">
        <v>182</v>
      </c>
      <c r="B46" s="103" t="s">
        <v>139</v>
      </c>
      <c r="C46" s="56" t="s">
        <v>127</v>
      </c>
      <c r="D46" s="56"/>
      <c r="E46" s="56"/>
      <c r="F46" s="104"/>
    </row>
    <row r="47" spans="1:6" ht="16" x14ac:dyDescent="0.2">
      <c r="A47" s="106" t="s">
        <v>183</v>
      </c>
      <c r="B47" s="103" t="s">
        <v>139</v>
      </c>
      <c r="C47" s="56" t="s">
        <v>127</v>
      </c>
      <c r="D47" s="56"/>
      <c r="E47" s="56"/>
      <c r="F47" s="104"/>
    </row>
    <row r="48" spans="1:6" ht="16" x14ac:dyDescent="0.2">
      <c r="A48" s="106" t="s">
        <v>184</v>
      </c>
      <c r="B48" s="103" t="s">
        <v>139</v>
      </c>
      <c r="C48" s="56"/>
      <c r="D48" s="56"/>
      <c r="E48" s="56"/>
      <c r="F48" s="104"/>
    </row>
    <row r="49" spans="1:6" ht="16" x14ac:dyDescent="0.2">
      <c r="A49" s="106" t="s">
        <v>185</v>
      </c>
      <c r="B49" s="103" t="s">
        <v>139</v>
      </c>
      <c r="C49" s="56" t="s">
        <v>127</v>
      </c>
      <c r="D49" s="56" t="s">
        <v>186</v>
      </c>
      <c r="E49" s="56"/>
      <c r="F49" s="104"/>
    </row>
    <row r="50" spans="1:6" ht="16" x14ac:dyDescent="0.2">
      <c r="A50" s="106" t="s">
        <v>187</v>
      </c>
      <c r="B50" s="103" t="s">
        <v>188</v>
      </c>
      <c r="C50" s="56" t="s">
        <v>153</v>
      </c>
      <c r="D50" s="56" t="s">
        <v>154</v>
      </c>
      <c r="E50" s="56" t="s">
        <v>129</v>
      </c>
      <c r="F50" s="104"/>
    </row>
    <row r="51" spans="1:6" ht="16" x14ac:dyDescent="0.2">
      <c r="A51" s="106" t="s">
        <v>189</v>
      </c>
      <c r="B51" s="103" t="s">
        <v>129</v>
      </c>
      <c r="C51" s="56"/>
      <c r="D51" s="56"/>
      <c r="E51" s="56"/>
      <c r="F51" s="104"/>
    </row>
    <row r="52" spans="1:6" ht="16" x14ac:dyDescent="0.2">
      <c r="A52" s="106" t="s">
        <v>147</v>
      </c>
      <c r="B52" s="103" t="s">
        <v>130</v>
      </c>
      <c r="C52" s="56"/>
      <c r="D52" s="56"/>
      <c r="E52" s="56"/>
      <c r="F52" s="104"/>
    </row>
    <row r="53" spans="1:6" ht="16" x14ac:dyDescent="0.2">
      <c r="A53" s="106" t="s">
        <v>148</v>
      </c>
      <c r="B53" s="103" t="s">
        <v>149</v>
      </c>
      <c r="C53" s="56"/>
      <c r="D53" s="56"/>
      <c r="E53" s="56"/>
      <c r="F53" s="104"/>
    </row>
    <row r="54" spans="1:6" ht="16" x14ac:dyDescent="0.2">
      <c r="A54" s="106" t="s">
        <v>190</v>
      </c>
      <c r="B54" s="103" t="s">
        <v>139</v>
      </c>
      <c r="C54" s="56"/>
      <c r="D54" s="56"/>
      <c r="E54" s="56"/>
      <c r="F54" s="104"/>
    </row>
    <row r="55" spans="1:6" ht="16" x14ac:dyDescent="0.2">
      <c r="A55" s="106" t="s">
        <v>191</v>
      </c>
      <c r="B55" s="103" t="s">
        <v>192</v>
      </c>
      <c r="C55" s="56" t="s">
        <v>193</v>
      </c>
      <c r="D55" s="56" t="s">
        <v>127</v>
      </c>
      <c r="E55" s="56"/>
      <c r="F55" s="104"/>
    </row>
    <row r="56" spans="1:6" ht="16" x14ac:dyDescent="0.2">
      <c r="A56" s="106" t="s">
        <v>194</v>
      </c>
      <c r="B56" s="103" t="s">
        <v>139</v>
      </c>
      <c r="C56" s="56" t="s">
        <v>130</v>
      </c>
      <c r="D56" s="56"/>
      <c r="E56" s="56"/>
      <c r="F56" s="104"/>
    </row>
    <row r="57" spans="1:6" ht="16" x14ac:dyDescent="0.2">
      <c r="A57" s="106" t="s">
        <v>195</v>
      </c>
      <c r="B57" s="103" t="s">
        <v>130</v>
      </c>
      <c r="C57" s="56"/>
      <c r="D57" s="56"/>
      <c r="E57" s="56"/>
      <c r="F57" s="104"/>
    </row>
    <row r="58" spans="1:6" x14ac:dyDescent="0.2">
      <c r="A58" s="107"/>
      <c r="B58" s="1"/>
      <c r="F58" s="2"/>
    </row>
    <row r="59" spans="1:6" x14ac:dyDescent="0.2">
      <c r="A59" s="107"/>
      <c r="B59" s="1"/>
      <c r="F59" s="2"/>
    </row>
    <row r="60" spans="1:6" x14ac:dyDescent="0.2">
      <c r="A60" s="107"/>
      <c r="B60" s="1"/>
      <c r="F60" s="2"/>
    </row>
    <row r="61" spans="1:6" x14ac:dyDescent="0.2">
      <c r="A61" s="107"/>
      <c r="B61" s="1"/>
      <c r="F61" s="2"/>
    </row>
    <row r="62" spans="1:6" x14ac:dyDescent="0.2">
      <c r="A62" s="107"/>
      <c r="B62" s="1"/>
      <c r="F62" s="2"/>
    </row>
    <row r="63" spans="1:6" x14ac:dyDescent="0.2">
      <c r="A63" s="107"/>
      <c r="B63" s="1"/>
      <c r="F63" s="2"/>
    </row>
    <row r="64" spans="1:6" x14ac:dyDescent="0.2">
      <c r="A64" s="107"/>
      <c r="B64" s="1"/>
      <c r="F64" s="2"/>
    </row>
    <row r="65" spans="1:6" x14ac:dyDescent="0.2">
      <c r="A65" s="107"/>
      <c r="B65" s="1"/>
      <c r="F65" s="2"/>
    </row>
    <row r="66" spans="1:6" x14ac:dyDescent="0.2">
      <c r="A66" s="107"/>
      <c r="B66" s="1"/>
      <c r="F66" s="2"/>
    </row>
    <row r="67" spans="1:6" x14ac:dyDescent="0.2">
      <c r="A67" s="107"/>
      <c r="B67" s="1"/>
      <c r="F67" s="2"/>
    </row>
    <row r="68" spans="1:6" x14ac:dyDescent="0.2">
      <c r="A68" s="107"/>
      <c r="B68" s="1"/>
      <c r="F68" s="2"/>
    </row>
    <row r="69" spans="1:6" x14ac:dyDescent="0.2">
      <c r="A69" s="107"/>
      <c r="B69" s="1"/>
      <c r="F69" s="2"/>
    </row>
    <row r="70" spans="1:6" x14ac:dyDescent="0.2">
      <c r="A70" s="107"/>
      <c r="B70" s="1"/>
      <c r="F70" s="2"/>
    </row>
    <row r="71" spans="1:6" x14ac:dyDescent="0.2">
      <c r="A71" s="107"/>
      <c r="B71" s="1"/>
      <c r="F71" s="2"/>
    </row>
    <row r="72" spans="1:6" x14ac:dyDescent="0.2">
      <c r="A72" s="107"/>
      <c r="B72" s="1"/>
      <c r="F72" s="2"/>
    </row>
    <row r="73" spans="1:6" x14ac:dyDescent="0.2">
      <c r="A73" s="107"/>
      <c r="B73" s="1"/>
      <c r="F73" s="2"/>
    </row>
    <row r="74" spans="1:6" x14ac:dyDescent="0.2">
      <c r="A74" s="107"/>
      <c r="B74" s="1"/>
      <c r="F74" s="2"/>
    </row>
    <row r="75" spans="1:6" x14ac:dyDescent="0.2">
      <c r="A75" s="107"/>
      <c r="B75" s="1"/>
      <c r="F75" s="2"/>
    </row>
    <row r="76" spans="1:6" x14ac:dyDescent="0.2">
      <c r="A76" s="107"/>
      <c r="B76" s="1"/>
      <c r="F76" s="2"/>
    </row>
    <row r="77" spans="1:6" x14ac:dyDescent="0.2">
      <c r="A77" s="107"/>
      <c r="B77" s="1"/>
      <c r="F77" s="2"/>
    </row>
    <row r="78" spans="1:6" x14ac:dyDescent="0.2">
      <c r="A78" s="107"/>
      <c r="B78" s="1"/>
      <c r="F78" s="2"/>
    </row>
    <row r="79" spans="1:6" x14ac:dyDescent="0.2">
      <c r="A79" s="107"/>
      <c r="B79" s="1"/>
      <c r="F79" s="2"/>
    </row>
    <row r="80" spans="1:6" x14ac:dyDescent="0.2">
      <c r="A80" s="107"/>
      <c r="B80" s="1"/>
      <c r="F80" s="2"/>
    </row>
    <row r="81" spans="1:6" x14ac:dyDescent="0.2">
      <c r="A81" s="107"/>
      <c r="B81" s="1"/>
      <c r="F81" s="2"/>
    </row>
    <row r="82" spans="1:6" x14ac:dyDescent="0.2">
      <c r="A82" s="107"/>
      <c r="B82" s="1"/>
      <c r="F82" s="2"/>
    </row>
    <row r="83" spans="1:6" x14ac:dyDescent="0.2">
      <c r="A83" s="107"/>
      <c r="B83" s="1"/>
      <c r="F83" s="2"/>
    </row>
    <row r="84" spans="1:6" x14ac:dyDescent="0.2">
      <c r="A84" s="107"/>
      <c r="B84" s="1"/>
      <c r="F84" s="2"/>
    </row>
    <row r="85" spans="1:6" x14ac:dyDescent="0.2">
      <c r="A85" s="107"/>
      <c r="B85" s="1"/>
      <c r="F85" s="2"/>
    </row>
    <row r="86" spans="1:6" x14ac:dyDescent="0.2">
      <c r="A86" s="107"/>
      <c r="B86" s="1"/>
      <c r="F86" s="2"/>
    </row>
    <row r="87" spans="1:6" x14ac:dyDescent="0.2">
      <c r="A87" s="107"/>
      <c r="B87" s="1"/>
      <c r="F87" s="2"/>
    </row>
    <row r="88" spans="1:6" x14ac:dyDescent="0.2">
      <c r="A88" s="107"/>
      <c r="B88" s="1"/>
      <c r="F88" s="2"/>
    </row>
    <row r="89" spans="1:6" x14ac:dyDescent="0.2">
      <c r="A89" s="107"/>
      <c r="B89" s="1"/>
      <c r="F89" s="2"/>
    </row>
    <row r="90" spans="1:6" x14ac:dyDescent="0.2">
      <c r="A90" s="107"/>
      <c r="B90" s="1"/>
      <c r="F90" s="2"/>
    </row>
    <row r="91" spans="1:6" x14ac:dyDescent="0.2">
      <c r="A91" s="107"/>
      <c r="B91" s="1"/>
      <c r="F91" s="2"/>
    </row>
    <row r="92" spans="1:6" x14ac:dyDescent="0.2">
      <c r="A92" s="107"/>
      <c r="B92" s="1"/>
      <c r="F92" s="2"/>
    </row>
    <row r="93" spans="1:6" x14ac:dyDescent="0.2">
      <c r="A93" s="107"/>
      <c r="B93" s="1"/>
      <c r="F93" s="2"/>
    </row>
    <row r="94" spans="1:6" x14ac:dyDescent="0.2">
      <c r="A94" s="107"/>
      <c r="B94" s="1"/>
      <c r="F94" s="2"/>
    </row>
    <row r="95" spans="1:6" x14ac:dyDescent="0.2">
      <c r="A95" s="107"/>
      <c r="B95" s="1"/>
      <c r="F95" s="2"/>
    </row>
    <row r="96" spans="1:6" x14ac:dyDescent="0.2">
      <c r="A96" s="107"/>
      <c r="B96" s="1"/>
      <c r="F96" s="2"/>
    </row>
    <row r="97" spans="1:6" x14ac:dyDescent="0.2">
      <c r="A97" s="107"/>
      <c r="B97" s="1"/>
      <c r="F97" s="2"/>
    </row>
    <row r="98" spans="1:6" x14ac:dyDescent="0.2">
      <c r="A98" s="107"/>
      <c r="B98" s="1"/>
      <c r="F98" s="2"/>
    </row>
    <row r="99" spans="1:6" x14ac:dyDescent="0.2">
      <c r="A99" s="107"/>
      <c r="B99" s="1"/>
      <c r="F99" s="2"/>
    </row>
    <row r="100" spans="1:6" x14ac:dyDescent="0.2">
      <c r="A100" s="107"/>
      <c r="B100" s="1"/>
      <c r="F100" s="2"/>
    </row>
    <row r="101" spans="1:6" x14ac:dyDescent="0.2">
      <c r="A101" s="107"/>
      <c r="B101" s="1"/>
      <c r="F101" s="2"/>
    </row>
    <row r="102" spans="1:6" x14ac:dyDescent="0.2">
      <c r="A102" s="107"/>
      <c r="B102" s="1"/>
      <c r="F102" s="2"/>
    </row>
    <row r="103" spans="1:6" x14ac:dyDescent="0.2">
      <c r="A103" s="107"/>
      <c r="B103" s="1"/>
      <c r="F103" s="2"/>
    </row>
    <row r="104" spans="1:6" x14ac:dyDescent="0.2">
      <c r="A104" s="107"/>
      <c r="B104" s="1"/>
      <c r="F104" s="2"/>
    </row>
    <row r="105" spans="1:6" x14ac:dyDescent="0.2">
      <c r="A105" s="107"/>
      <c r="B105" s="1"/>
      <c r="F105" s="2"/>
    </row>
    <row r="106" spans="1:6" x14ac:dyDescent="0.2">
      <c r="A106" s="107"/>
      <c r="B106" s="1"/>
      <c r="F106" s="2"/>
    </row>
    <row r="107" spans="1:6" x14ac:dyDescent="0.2">
      <c r="A107" s="107"/>
      <c r="B107" s="1"/>
      <c r="F107" s="2"/>
    </row>
    <row r="108" spans="1:6" x14ac:dyDescent="0.2">
      <c r="A108" s="107"/>
      <c r="B108" s="1"/>
      <c r="F108" s="2"/>
    </row>
    <row r="109" spans="1:6" x14ac:dyDescent="0.2">
      <c r="A109" s="107"/>
      <c r="B109" s="1"/>
      <c r="F109" s="2"/>
    </row>
    <row r="110" spans="1:6" x14ac:dyDescent="0.2">
      <c r="A110" s="107"/>
      <c r="B110" s="1"/>
      <c r="F110" s="2"/>
    </row>
    <row r="111" spans="1:6" x14ac:dyDescent="0.2">
      <c r="A111" s="107"/>
      <c r="B111" s="1"/>
      <c r="F111" s="2"/>
    </row>
    <row r="112" spans="1:6" x14ac:dyDescent="0.2">
      <c r="A112" s="107"/>
      <c r="B112" s="1"/>
      <c r="F112" s="2"/>
    </row>
    <row r="113" spans="1:6" x14ac:dyDescent="0.2">
      <c r="A113" s="107"/>
      <c r="B113" s="1"/>
      <c r="F113" s="2"/>
    </row>
    <row r="114" spans="1:6" x14ac:dyDescent="0.2">
      <c r="A114" s="107"/>
      <c r="B114" s="1"/>
      <c r="F114" s="2"/>
    </row>
    <row r="115" spans="1:6" x14ac:dyDescent="0.2">
      <c r="A115" s="107"/>
      <c r="B115" s="1"/>
      <c r="F115" s="2"/>
    </row>
    <row r="116" spans="1:6" x14ac:dyDescent="0.2">
      <c r="A116" s="107"/>
      <c r="B116" s="1"/>
      <c r="F116" s="2"/>
    </row>
    <row r="117" spans="1:6" x14ac:dyDescent="0.2">
      <c r="A117" s="107"/>
      <c r="B117" s="1"/>
      <c r="F117" s="2"/>
    </row>
    <row r="118" spans="1:6" x14ac:dyDescent="0.2">
      <c r="A118" s="107"/>
      <c r="B118" s="1"/>
      <c r="F118" s="2"/>
    </row>
    <row r="119" spans="1:6" x14ac:dyDescent="0.2">
      <c r="A119" s="107"/>
      <c r="B119" s="1"/>
      <c r="F119" s="2"/>
    </row>
    <row r="120" spans="1:6" x14ac:dyDescent="0.2">
      <c r="A120" s="107"/>
      <c r="B120" s="1"/>
      <c r="F120" s="2"/>
    </row>
    <row r="121" spans="1:6" x14ac:dyDescent="0.2">
      <c r="A121" s="107"/>
      <c r="B121" s="1"/>
      <c r="F121" s="2"/>
    </row>
    <row r="122" spans="1:6" x14ac:dyDescent="0.2">
      <c r="A122" s="107"/>
      <c r="B122" s="1"/>
      <c r="F122" s="2"/>
    </row>
    <row r="123" spans="1:6" x14ac:dyDescent="0.2">
      <c r="A123" s="107"/>
      <c r="B123" s="1"/>
      <c r="F123" s="2"/>
    </row>
    <row r="124" spans="1:6" x14ac:dyDescent="0.2">
      <c r="A124" s="107"/>
      <c r="B124" s="1"/>
      <c r="F124" s="2"/>
    </row>
    <row r="125" spans="1:6" x14ac:dyDescent="0.2">
      <c r="A125" s="107"/>
      <c r="B125" s="1"/>
      <c r="F125" s="2"/>
    </row>
    <row r="126" spans="1:6" x14ac:dyDescent="0.2">
      <c r="A126" s="107"/>
      <c r="B126" s="1"/>
      <c r="F126" s="2"/>
    </row>
    <row r="127" spans="1:6" x14ac:dyDescent="0.2">
      <c r="A127" s="107"/>
      <c r="B127" s="1"/>
      <c r="F127" s="2"/>
    </row>
    <row r="128" spans="1:6" x14ac:dyDescent="0.2">
      <c r="A128" s="107"/>
      <c r="B128" s="1"/>
      <c r="F128" s="2"/>
    </row>
    <row r="129" spans="1:6" x14ac:dyDescent="0.2">
      <c r="A129" s="107"/>
      <c r="B129" s="1"/>
      <c r="F129" s="2"/>
    </row>
    <row r="130" spans="1:6" x14ac:dyDescent="0.2">
      <c r="A130" s="107"/>
      <c r="B130" s="1"/>
      <c r="F130" s="2"/>
    </row>
    <row r="131" spans="1:6" x14ac:dyDescent="0.2">
      <c r="A131" s="107"/>
      <c r="B131" s="1"/>
      <c r="F131" s="2"/>
    </row>
    <row r="132" spans="1:6" x14ac:dyDescent="0.2">
      <c r="A132" s="107"/>
      <c r="B132" s="1"/>
      <c r="F132" s="2"/>
    </row>
    <row r="133" spans="1:6" x14ac:dyDescent="0.2">
      <c r="A133" s="107"/>
      <c r="B133" s="1"/>
      <c r="F133" s="2"/>
    </row>
    <row r="134" spans="1:6" x14ac:dyDescent="0.2">
      <c r="A134" s="107"/>
      <c r="B134" s="1"/>
      <c r="F134" s="2"/>
    </row>
    <row r="135" spans="1:6" x14ac:dyDescent="0.2">
      <c r="A135" s="107"/>
      <c r="B135" s="1"/>
      <c r="F135" s="2"/>
    </row>
    <row r="136" spans="1:6" x14ac:dyDescent="0.2">
      <c r="A136" s="107"/>
      <c r="B136" s="1"/>
      <c r="F136" s="2"/>
    </row>
    <row r="137" spans="1:6" x14ac:dyDescent="0.2">
      <c r="A137" s="107"/>
      <c r="B137" s="1"/>
      <c r="F137" s="2"/>
    </row>
    <row r="138" spans="1:6" x14ac:dyDescent="0.2">
      <c r="A138" s="107"/>
      <c r="B138" s="1"/>
      <c r="F138" s="2"/>
    </row>
    <row r="139" spans="1:6" x14ac:dyDescent="0.2">
      <c r="A139" s="107"/>
      <c r="B139" s="1"/>
      <c r="F139" s="2"/>
    </row>
    <row r="140" spans="1:6" x14ac:dyDescent="0.2">
      <c r="A140" s="107"/>
      <c r="B140" s="1"/>
      <c r="F140" s="2"/>
    </row>
    <row r="141" spans="1:6" x14ac:dyDescent="0.2">
      <c r="A141" s="107"/>
      <c r="B141" s="1"/>
      <c r="F141" s="2"/>
    </row>
    <row r="142" spans="1:6" x14ac:dyDescent="0.2">
      <c r="A142" s="107"/>
      <c r="B142" s="1"/>
      <c r="F142" s="2"/>
    </row>
    <row r="143" spans="1:6" x14ac:dyDescent="0.2">
      <c r="A143" s="107"/>
      <c r="B143" s="1"/>
      <c r="F143" s="2"/>
    </row>
    <row r="144" spans="1:6" x14ac:dyDescent="0.2">
      <c r="A144" s="107"/>
      <c r="B144" s="1"/>
      <c r="F144" s="2"/>
    </row>
    <row r="145" spans="1:6" x14ac:dyDescent="0.2">
      <c r="A145" s="107"/>
      <c r="B145" s="1"/>
      <c r="F145" s="2"/>
    </row>
    <row r="146" spans="1:6" x14ac:dyDescent="0.2">
      <c r="A146" s="107"/>
      <c r="B146" s="1"/>
      <c r="F146" s="2"/>
    </row>
    <row r="147" spans="1:6" x14ac:dyDescent="0.2">
      <c r="A147" s="107"/>
      <c r="B147" s="1"/>
      <c r="F147" s="2"/>
    </row>
    <row r="148" spans="1:6" x14ac:dyDescent="0.2">
      <c r="A148" s="107"/>
      <c r="B148" s="1"/>
      <c r="F148" s="2"/>
    </row>
    <row r="149" spans="1:6" x14ac:dyDescent="0.2">
      <c r="A149" s="107"/>
      <c r="B149" s="1"/>
      <c r="F149" s="2"/>
    </row>
    <row r="150" spans="1:6" x14ac:dyDescent="0.2">
      <c r="A150" s="107"/>
      <c r="B150" s="1"/>
      <c r="F150" s="2"/>
    </row>
    <row r="151" spans="1:6" x14ac:dyDescent="0.2">
      <c r="A151" s="107"/>
      <c r="B151" s="1"/>
      <c r="F151" s="2"/>
    </row>
    <row r="152" spans="1:6" x14ac:dyDescent="0.2">
      <c r="A152" s="107"/>
      <c r="B152" s="1"/>
      <c r="F152" s="2"/>
    </row>
    <row r="153" spans="1:6" x14ac:dyDescent="0.2">
      <c r="A153" s="107"/>
      <c r="B153" s="1"/>
      <c r="F153" s="2"/>
    </row>
    <row r="154" spans="1:6" x14ac:dyDescent="0.2">
      <c r="A154" s="107"/>
      <c r="B154" s="1"/>
      <c r="F154" s="2"/>
    </row>
    <row r="155" spans="1:6" x14ac:dyDescent="0.2">
      <c r="A155" s="107"/>
      <c r="B155" s="1"/>
      <c r="F155" s="2"/>
    </row>
    <row r="156" spans="1:6" x14ac:dyDescent="0.2">
      <c r="A156" s="107"/>
      <c r="B156" s="1"/>
      <c r="F156" s="2"/>
    </row>
    <row r="157" spans="1:6" x14ac:dyDescent="0.2">
      <c r="A157" s="107"/>
      <c r="B157" s="1"/>
      <c r="F157" s="2"/>
    </row>
    <row r="158" spans="1:6" x14ac:dyDescent="0.2">
      <c r="A158" s="107"/>
      <c r="B158" s="1"/>
      <c r="F158" s="2"/>
    </row>
    <row r="159" spans="1:6" x14ac:dyDescent="0.2">
      <c r="A159" s="107"/>
      <c r="B159" s="1"/>
      <c r="F159" s="2"/>
    </row>
    <row r="160" spans="1:6" x14ac:dyDescent="0.2">
      <c r="A160" s="107"/>
      <c r="B160" s="1"/>
      <c r="F160" s="2"/>
    </row>
    <row r="161" spans="1:6" x14ac:dyDescent="0.2">
      <c r="A161" s="107"/>
      <c r="B161" s="1"/>
      <c r="F161" s="2"/>
    </row>
    <row r="162" spans="1:6" x14ac:dyDescent="0.2">
      <c r="A162" s="107"/>
      <c r="B162" s="1"/>
      <c r="F162" s="2"/>
    </row>
    <row r="163" spans="1:6" x14ac:dyDescent="0.2">
      <c r="A163" s="107"/>
      <c r="B163" s="1"/>
      <c r="F163" s="2"/>
    </row>
    <row r="164" spans="1:6" x14ac:dyDescent="0.2">
      <c r="A164" s="107"/>
      <c r="B164" s="1"/>
      <c r="F164" s="2"/>
    </row>
    <row r="165" spans="1:6" x14ac:dyDescent="0.2">
      <c r="A165" s="107"/>
      <c r="B165" s="1"/>
      <c r="F165" s="2"/>
    </row>
    <row r="166" spans="1:6" x14ac:dyDescent="0.2">
      <c r="A166" s="107"/>
      <c r="B166" s="1"/>
      <c r="F166" s="2"/>
    </row>
    <row r="167" spans="1:6" x14ac:dyDescent="0.2">
      <c r="A167" s="107"/>
      <c r="B167" s="1"/>
      <c r="F167" s="2"/>
    </row>
    <row r="168" spans="1:6" x14ac:dyDescent="0.2">
      <c r="A168" s="107"/>
      <c r="B168" s="1"/>
      <c r="F168" s="2"/>
    </row>
    <row r="169" spans="1:6" x14ac:dyDescent="0.2">
      <c r="A169" s="107"/>
      <c r="B169" s="1"/>
      <c r="F169" s="2"/>
    </row>
    <row r="170" spans="1:6" x14ac:dyDescent="0.2">
      <c r="A170" s="107"/>
      <c r="B170" s="1"/>
      <c r="F170" s="2"/>
    </row>
    <row r="171" spans="1:6" x14ac:dyDescent="0.2">
      <c r="A171" s="107"/>
      <c r="B171" s="1"/>
      <c r="F171" s="2"/>
    </row>
    <row r="172" spans="1:6" x14ac:dyDescent="0.2">
      <c r="A172" s="107"/>
      <c r="B172" s="1"/>
      <c r="F172" s="2"/>
    </row>
    <row r="173" spans="1:6" x14ac:dyDescent="0.2">
      <c r="A173" s="107"/>
      <c r="B173" s="1"/>
      <c r="F173" s="2"/>
    </row>
    <row r="174" spans="1:6" x14ac:dyDescent="0.2">
      <c r="A174" s="107"/>
      <c r="B174" s="1"/>
      <c r="F174" s="2"/>
    </row>
    <row r="175" spans="1:6" x14ac:dyDescent="0.2">
      <c r="A175" s="107"/>
      <c r="B175" s="1"/>
      <c r="F175" s="2"/>
    </row>
    <row r="176" spans="1:6" x14ac:dyDescent="0.2">
      <c r="A176" s="107"/>
      <c r="B176" s="1"/>
      <c r="F176" s="2"/>
    </row>
    <row r="177" spans="1:6" x14ac:dyDescent="0.2">
      <c r="A177" s="107"/>
      <c r="B177" s="1"/>
      <c r="F177" s="2"/>
    </row>
    <row r="178" spans="1:6" x14ac:dyDescent="0.2">
      <c r="A178" s="107"/>
      <c r="B178" s="1"/>
      <c r="F178" s="2"/>
    </row>
    <row r="179" spans="1:6" x14ac:dyDescent="0.2">
      <c r="A179" s="107"/>
      <c r="B179" s="1"/>
      <c r="F179" s="2"/>
    </row>
    <row r="180" spans="1:6" x14ac:dyDescent="0.2">
      <c r="A180" s="107"/>
      <c r="B180" s="1"/>
      <c r="F180" s="2"/>
    </row>
    <row r="181" spans="1:6" x14ac:dyDescent="0.2">
      <c r="A181" s="107"/>
      <c r="B181" s="1"/>
      <c r="F181" s="2"/>
    </row>
    <row r="182" spans="1:6" x14ac:dyDescent="0.2">
      <c r="A182" s="107"/>
      <c r="B182" s="1"/>
      <c r="F182" s="2"/>
    </row>
    <row r="183" spans="1:6" x14ac:dyDescent="0.2">
      <c r="A183" s="107"/>
      <c r="B183" s="1"/>
      <c r="F183" s="2"/>
    </row>
    <row r="184" spans="1:6" x14ac:dyDescent="0.2">
      <c r="A184" s="107"/>
      <c r="B184" s="1"/>
      <c r="F184" s="2"/>
    </row>
    <row r="185" spans="1:6" x14ac:dyDescent="0.2">
      <c r="A185" s="107"/>
      <c r="B185" s="1"/>
      <c r="F185" s="2"/>
    </row>
    <row r="186" spans="1:6" x14ac:dyDescent="0.2">
      <c r="A186" s="107"/>
      <c r="B186" s="1"/>
      <c r="F186" s="2"/>
    </row>
    <row r="187" spans="1:6" x14ac:dyDescent="0.2">
      <c r="A187" s="107"/>
      <c r="B187" s="1"/>
      <c r="F187" s="2"/>
    </row>
    <row r="188" spans="1:6" x14ac:dyDescent="0.2">
      <c r="A188" s="107"/>
      <c r="B188" s="1"/>
      <c r="F188" s="2"/>
    </row>
    <row r="189" spans="1:6" x14ac:dyDescent="0.2">
      <c r="A189" s="107"/>
      <c r="B189" s="1"/>
      <c r="F189" s="2"/>
    </row>
    <row r="190" spans="1:6" x14ac:dyDescent="0.2">
      <c r="A190" s="107"/>
      <c r="B190" s="1"/>
      <c r="F190" s="2"/>
    </row>
    <row r="191" spans="1:6" x14ac:dyDescent="0.2">
      <c r="A191" s="107"/>
      <c r="B191" s="1"/>
      <c r="F191" s="2"/>
    </row>
    <row r="192" spans="1:6" x14ac:dyDescent="0.2">
      <c r="A192" s="107"/>
      <c r="B192" s="1"/>
      <c r="F192" s="2"/>
    </row>
    <row r="193" spans="1:6" x14ac:dyDescent="0.2">
      <c r="A193" s="107"/>
      <c r="B193" s="1"/>
      <c r="F193" s="2"/>
    </row>
    <row r="194" spans="1:6" x14ac:dyDescent="0.2">
      <c r="A194" s="107"/>
      <c r="B194" s="1"/>
      <c r="F194" s="2"/>
    </row>
    <row r="195" spans="1:6" x14ac:dyDescent="0.2">
      <c r="A195" s="107"/>
      <c r="B195" s="1"/>
      <c r="F195" s="2"/>
    </row>
    <row r="196" spans="1:6" x14ac:dyDescent="0.2">
      <c r="A196" s="107"/>
      <c r="B196" s="1"/>
      <c r="F196" s="2"/>
    </row>
    <row r="197" spans="1:6" x14ac:dyDescent="0.2">
      <c r="A197" s="107"/>
      <c r="B197" s="1"/>
      <c r="F197" s="2"/>
    </row>
    <row r="198" spans="1:6" x14ac:dyDescent="0.2">
      <c r="A198" s="107"/>
      <c r="B198" s="1"/>
      <c r="F198" s="2"/>
    </row>
    <row r="199" spans="1:6" x14ac:dyDescent="0.2">
      <c r="A199" s="107"/>
      <c r="B199" s="1"/>
      <c r="F199" s="2"/>
    </row>
    <row r="200" spans="1:6" x14ac:dyDescent="0.2">
      <c r="A200" s="107"/>
      <c r="B200" s="1"/>
      <c r="F200" s="2"/>
    </row>
    <row r="201" spans="1:6" x14ac:dyDescent="0.2">
      <c r="A201" s="107"/>
      <c r="B201" s="1"/>
      <c r="F201" s="2"/>
    </row>
    <row r="202" spans="1:6" x14ac:dyDescent="0.2">
      <c r="A202" s="107"/>
      <c r="B202" s="1"/>
      <c r="F202" s="2"/>
    </row>
    <row r="203" spans="1:6" x14ac:dyDescent="0.2">
      <c r="A203" s="107"/>
      <c r="B203" s="1"/>
      <c r="F203" s="2"/>
    </row>
    <row r="204" spans="1:6" x14ac:dyDescent="0.2">
      <c r="A204" s="107"/>
      <c r="B204" s="1"/>
      <c r="F204" s="2"/>
    </row>
    <row r="205" spans="1:6" x14ac:dyDescent="0.2">
      <c r="A205" s="107"/>
      <c r="B205" s="1"/>
      <c r="F205" s="2"/>
    </row>
    <row r="206" spans="1:6" x14ac:dyDescent="0.2">
      <c r="A206" s="107"/>
      <c r="B206" s="1"/>
      <c r="F206" s="2"/>
    </row>
    <row r="207" spans="1:6" x14ac:dyDescent="0.2">
      <c r="A207" s="107"/>
      <c r="B207" s="1"/>
      <c r="F207" s="2"/>
    </row>
    <row r="208" spans="1:6" x14ac:dyDescent="0.2">
      <c r="A208" s="107"/>
      <c r="B208" s="1"/>
      <c r="F208" s="2"/>
    </row>
    <row r="209" spans="1:6" x14ac:dyDescent="0.2">
      <c r="A209" s="107"/>
      <c r="B209" s="1"/>
      <c r="F209" s="2"/>
    </row>
    <row r="210" spans="1:6" x14ac:dyDescent="0.2">
      <c r="A210" s="107"/>
      <c r="B210" s="1"/>
      <c r="F210" s="2"/>
    </row>
    <row r="211" spans="1:6" x14ac:dyDescent="0.2">
      <c r="A211" s="107"/>
      <c r="B211" s="1"/>
      <c r="F211" s="2"/>
    </row>
    <row r="212" spans="1:6" x14ac:dyDescent="0.2">
      <c r="A212" s="107"/>
      <c r="B212" s="1"/>
      <c r="F212" s="2"/>
    </row>
    <row r="213" spans="1:6" x14ac:dyDescent="0.2">
      <c r="A213" s="107"/>
      <c r="B213" s="1"/>
      <c r="F213" s="2"/>
    </row>
    <row r="214" spans="1:6" x14ac:dyDescent="0.2">
      <c r="A214" s="107"/>
      <c r="B214" s="1"/>
      <c r="F214" s="2"/>
    </row>
    <row r="215" spans="1:6" x14ac:dyDescent="0.2">
      <c r="A215" s="107"/>
      <c r="B215" s="1"/>
      <c r="F215" s="2"/>
    </row>
    <row r="216" spans="1:6" x14ac:dyDescent="0.2">
      <c r="A216" s="107"/>
      <c r="B216" s="1"/>
      <c r="F216" s="2"/>
    </row>
    <row r="217" spans="1:6" x14ac:dyDescent="0.2">
      <c r="A217" s="107"/>
      <c r="B217" s="1"/>
      <c r="F217" s="2"/>
    </row>
    <row r="218" spans="1:6" x14ac:dyDescent="0.2">
      <c r="A218" s="107"/>
      <c r="B218" s="1"/>
      <c r="F218" s="2"/>
    </row>
    <row r="219" spans="1:6" x14ac:dyDescent="0.2">
      <c r="A219" s="107"/>
      <c r="B219" s="1"/>
      <c r="F219" s="2"/>
    </row>
    <row r="220" spans="1:6" x14ac:dyDescent="0.2">
      <c r="A220" s="107"/>
      <c r="B220" s="1"/>
      <c r="F220" s="2"/>
    </row>
    <row r="221" spans="1:6" x14ac:dyDescent="0.2">
      <c r="A221" s="107"/>
      <c r="B221" s="1"/>
      <c r="F221" s="2"/>
    </row>
    <row r="222" spans="1:6" x14ac:dyDescent="0.2">
      <c r="A222" s="107"/>
      <c r="B222" s="1"/>
      <c r="F222" s="2"/>
    </row>
    <row r="223" spans="1:6" x14ac:dyDescent="0.2">
      <c r="A223" s="107"/>
      <c r="B223" s="1"/>
      <c r="F223" s="2"/>
    </row>
    <row r="224" spans="1:6" x14ac:dyDescent="0.2">
      <c r="A224" s="107"/>
      <c r="B224" s="1"/>
      <c r="F224" s="2"/>
    </row>
    <row r="225" spans="1:6" x14ac:dyDescent="0.2">
      <c r="A225" s="107"/>
      <c r="B225" s="1"/>
      <c r="F225" s="2"/>
    </row>
    <row r="226" spans="1:6" x14ac:dyDescent="0.2">
      <c r="A226" s="107"/>
      <c r="B226" s="1"/>
      <c r="F226" s="2"/>
    </row>
    <row r="227" spans="1:6" x14ac:dyDescent="0.2">
      <c r="A227" s="107"/>
      <c r="B227" s="1"/>
      <c r="F227" s="2"/>
    </row>
    <row r="228" spans="1:6" x14ac:dyDescent="0.2">
      <c r="A228" s="107"/>
      <c r="B228" s="1"/>
      <c r="F228" s="2"/>
    </row>
    <row r="229" spans="1:6" x14ac:dyDescent="0.2">
      <c r="A229" s="107"/>
      <c r="B229" s="1"/>
      <c r="F229" s="2"/>
    </row>
    <row r="230" spans="1:6" x14ac:dyDescent="0.2">
      <c r="A230" s="107"/>
      <c r="B230" s="1"/>
      <c r="F230" s="2"/>
    </row>
    <row r="231" spans="1:6" x14ac:dyDescent="0.2">
      <c r="A231" s="107"/>
      <c r="B231" s="1"/>
      <c r="F231" s="2"/>
    </row>
    <row r="232" spans="1:6" x14ac:dyDescent="0.2">
      <c r="A232" s="107"/>
      <c r="B232" s="1"/>
      <c r="F232" s="2"/>
    </row>
    <row r="233" spans="1:6" x14ac:dyDescent="0.2">
      <c r="A233" s="107"/>
      <c r="B233" s="1"/>
      <c r="F233" s="2"/>
    </row>
    <row r="234" spans="1:6" x14ac:dyDescent="0.2">
      <c r="A234" s="107"/>
      <c r="B234" s="1"/>
      <c r="F234" s="2"/>
    </row>
    <row r="235" spans="1:6" x14ac:dyDescent="0.2">
      <c r="A235" s="107"/>
      <c r="B235" s="1"/>
      <c r="F235" s="2"/>
    </row>
    <row r="236" spans="1:6" x14ac:dyDescent="0.2">
      <c r="A236" s="107"/>
      <c r="B236" s="1"/>
      <c r="F236" s="2"/>
    </row>
    <row r="237" spans="1:6" x14ac:dyDescent="0.2">
      <c r="A237" s="107"/>
      <c r="B237" s="1"/>
      <c r="F237" s="2"/>
    </row>
    <row r="238" spans="1:6" x14ac:dyDescent="0.2">
      <c r="A238" s="107"/>
      <c r="B238" s="1"/>
      <c r="F238" s="2"/>
    </row>
    <row r="239" spans="1:6" x14ac:dyDescent="0.2">
      <c r="A239" s="107"/>
      <c r="B239" s="1"/>
      <c r="F239" s="2"/>
    </row>
    <row r="240" spans="1:6" x14ac:dyDescent="0.2">
      <c r="A240" s="107"/>
      <c r="B240" s="1"/>
      <c r="F240" s="2"/>
    </row>
    <row r="241" spans="1:6" x14ac:dyDescent="0.2">
      <c r="A241" s="107"/>
      <c r="B241" s="1"/>
      <c r="F241" s="2"/>
    </row>
    <row r="242" spans="1:6" x14ac:dyDescent="0.2">
      <c r="A242" s="107"/>
      <c r="B242" s="1"/>
      <c r="F242" s="2"/>
    </row>
    <row r="243" spans="1:6" x14ac:dyDescent="0.2">
      <c r="A243" s="107"/>
      <c r="B243" s="1"/>
      <c r="F243" s="2"/>
    </row>
    <row r="244" spans="1:6" x14ac:dyDescent="0.2">
      <c r="A244" s="107"/>
      <c r="B244" s="1"/>
      <c r="F244" s="2"/>
    </row>
    <row r="245" spans="1:6" x14ac:dyDescent="0.2">
      <c r="A245" s="107"/>
      <c r="B245" s="1"/>
      <c r="F245" s="2"/>
    </row>
    <row r="246" spans="1:6" x14ac:dyDescent="0.2">
      <c r="A246" s="107"/>
      <c r="B246" s="1"/>
      <c r="F246" s="2"/>
    </row>
    <row r="247" spans="1:6" x14ac:dyDescent="0.2">
      <c r="A247" s="107"/>
      <c r="B247" s="1"/>
      <c r="F247" s="2"/>
    </row>
    <row r="248" spans="1:6" x14ac:dyDescent="0.2">
      <c r="A248" s="107"/>
      <c r="B248" s="1"/>
      <c r="F248" s="2"/>
    </row>
    <row r="249" spans="1:6" x14ac:dyDescent="0.2">
      <c r="A249" s="107"/>
      <c r="B249" s="1"/>
      <c r="F249" s="2"/>
    </row>
    <row r="250" spans="1:6" x14ac:dyDescent="0.2">
      <c r="A250" s="107"/>
      <c r="B250" s="1"/>
      <c r="F250" s="2"/>
    </row>
    <row r="251" spans="1:6" x14ac:dyDescent="0.2">
      <c r="A251" s="107"/>
      <c r="B251" s="1"/>
      <c r="F251" s="2"/>
    </row>
    <row r="252" spans="1:6" x14ac:dyDescent="0.2">
      <c r="A252" s="107"/>
      <c r="B252" s="1"/>
      <c r="F252" s="2"/>
    </row>
    <row r="253" spans="1:6" x14ac:dyDescent="0.2">
      <c r="A253" s="107"/>
      <c r="B253" s="1"/>
      <c r="F253" s="2"/>
    </row>
    <row r="254" spans="1:6" x14ac:dyDescent="0.2">
      <c r="A254" s="107"/>
      <c r="B254" s="1"/>
      <c r="F254" s="2"/>
    </row>
    <row r="255" spans="1:6" x14ac:dyDescent="0.2">
      <c r="A255" s="107"/>
      <c r="B255" s="1"/>
      <c r="F255" s="2"/>
    </row>
    <row r="256" spans="1:6" x14ac:dyDescent="0.2">
      <c r="A256" s="107"/>
      <c r="B256" s="1"/>
      <c r="F256" s="2"/>
    </row>
    <row r="257" spans="1:6" x14ac:dyDescent="0.2">
      <c r="A257" s="107"/>
      <c r="B257" s="1"/>
      <c r="F257" s="2"/>
    </row>
    <row r="258" spans="1:6" x14ac:dyDescent="0.2">
      <c r="A258" s="107"/>
      <c r="B258" s="1"/>
      <c r="F258" s="2"/>
    </row>
    <row r="259" spans="1:6" x14ac:dyDescent="0.2">
      <c r="A259" s="107"/>
      <c r="B259" s="1"/>
      <c r="F259" s="2"/>
    </row>
    <row r="260" spans="1:6" x14ac:dyDescent="0.2">
      <c r="A260" s="107"/>
      <c r="B260" s="1"/>
      <c r="F260" s="2"/>
    </row>
    <row r="261" spans="1:6" x14ac:dyDescent="0.2">
      <c r="A261" s="107"/>
      <c r="B261" s="1"/>
      <c r="F261" s="2"/>
    </row>
    <row r="262" spans="1:6" x14ac:dyDescent="0.2">
      <c r="A262" s="107"/>
      <c r="B262" s="1"/>
      <c r="F262" s="2"/>
    </row>
    <row r="263" spans="1:6" x14ac:dyDescent="0.2">
      <c r="A263" s="107"/>
      <c r="B263" s="1"/>
      <c r="F263" s="2"/>
    </row>
    <row r="264" spans="1:6" x14ac:dyDescent="0.2">
      <c r="A264" s="107"/>
      <c r="B264" s="1"/>
      <c r="F264" s="2"/>
    </row>
    <row r="265" spans="1:6" x14ac:dyDescent="0.2">
      <c r="A265" s="107"/>
      <c r="B265" s="1"/>
      <c r="F265" s="2"/>
    </row>
    <row r="266" spans="1:6" x14ac:dyDescent="0.2">
      <c r="A266" s="107"/>
      <c r="B266" s="1"/>
      <c r="F266" s="2"/>
    </row>
    <row r="267" spans="1:6" x14ac:dyDescent="0.2">
      <c r="A267" s="107"/>
      <c r="B267" s="1"/>
      <c r="F267" s="2"/>
    </row>
    <row r="268" spans="1:6" x14ac:dyDescent="0.2">
      <c r="A268" s="107"/>
      <c r="B268" s="1"/>
      <c r="F268" s="2"/>
    </row>
    <row r="269" spans="1:6" x14ac:dyDescent="0.2">
      <c r="A269" s="107"/>
      <c r="B269" s="1"/>
      <c r="F269" s="2"/>
    </row>
    <row r="270" spans="1:6" x14ac:dyDescent="0.2">
      <c r="A270" s="107"/>
      <c r="B270" s="1"/>
      <c r="F270" s="2"/>
    </row>
    <row r="271" spans="1:6" x14ac:dyDescent="0.2">
      <c r="A271" s="107"/>
      <c r="B271" s="1"/>
      <c r="F271" s="2"/>
    </row>
    <row r="272" spans="1:6" x14ac:dyDescent="0.2">
      <c r="A272" s="107"/>
      <c r="B272" s="1"/>
      <c r="F272" s="2"/>
    </row>
    <row r="273" spans="1:6" x14ac:dyDescent="0.2">
      <c r="A273" s="107"/>
      <c r="B273" s="1"/>
      <c r="F273" s="2"/>
    </row>
    <row r="274" spans="1:6" x14ac:dyDescent="0.2">
      <c r="A274" s="107"/>
      <c r="B274" s="1"/>
      <c r="F274" s="2"/>
    </row>
    <row r="275" spans="1:6" x14ac:dyDescent="0.2">
      <c r="A275" s="107"/>
      <c r="B275" s="1"/>
      <c r="F275" s="2"/>
    </row>
    <row r="276" spans="1:6" x14ac:dyDescent="0.2">
      <c r="A276" s="107"/>
      <c r="B276" s="1"/>
      <c r="F276" s="2"/>
    </row>
    <row r="277" spans="1:6" x14ac:dyDescent="0.2">
      <c r="A277" s="107"/>
      <c r="B277" s="1"/>
      <c r="F277" s="2"/>
    </row>
    <row r="278" spans="1:6" x14ac:dyDescent="0.2">
      <c r="A278" s="107"/>
      <c r="B278" s="1"/>
      <c r="F278" s="2"/>
    </row>
    <row r="279" spans="1:6" x14ac:dyDescent="0.2">
      <c r="A279" s="107"/>
      <c r="B279" s="1"/>
      <c r="F279" s="2"/>
    </row>
    <row r="280" spans="1:6" x14ac:dyDescent="0.2">
      <c r="A280" s="107"/>
      <c r="B280" s="1"/>
      <c r="F280" s="2"/>
    </row>
    <row r="281" spans="1:6" x14ac:dyDescent="0.2">
      <c r="A281" s="107"/>
      <c r="B281" s="1"/>
      <c r="F281" s="2"/>
    </row>
    <row r="282" spans="1:6" x14ac:dyDescent="0.2">
      <c r="A282" s="107"/>
      <c r="B282" s="1"/>
      <c r="F282" s="2"/>
    </row>
    <row r="283" spans="1:6" x14ac:dyDescent="0.2">
      <c r="A283" s="107"/>
      <c r="B283" s="1"/>
      <c r="F283" s="2"/>
    </row>
    <row r="284" spans="1:6" x14ac:dyDescent="0.2">
      <c r="A284" s="107"/>
      <c r="B284" s="1"/>
      <c r="F284" s="2"/>
    </row>
    <row r="285" spans="1:6" x14ac:dyDescent="0.2">
      <c r="A285" s="107"/>
      <c r="B285" s="1"/>
      <c r="F285" s="2"/>
    </row>
    <row r="286" spans="1:6" x14ac:dyDescent="0.2">
      <c r="A286" s="107"/>
      <c r="B286" s="1"/>
      <c r="F286" s="2"/>
    </row>
    <row r="287" spans="1:6" x14ac:dyDescent="0.2">
      <c r="A287" s="107"/>
      <c r="B287" s="1"/>
      <c r="F287" s="2"/>
    </row>
    <row r="288" spans="1:6" x14ac:dyDescent="0.2">
      <c r="A288" s="107"/>
      <c r="B288" s="1"/>
      <c r="F288" s="2"/>
    </row>
    <row r="289" spans="1:6" x14ac:dyDescent="0.2">
      <c r="A289" s="107"/>
      <c r="B289" s="1"/>
      <c r="F289" s="2"/>
    </row>
    <row r="290" spans="1:6" x14ac:dyDescent="0.2">
      <c r="A290" s="107"/>
      <c r="B290" s="1"/>
      <c r="F290" s="2"/>
    </row>
    <row r="291" spans="1:6" x14ac:dyDescent="0.2">
      <c r="A291" s="107"/>
      <c r="B291" s="1"/>
      <c r="F291" s="2"/>
    </row>
    <row r="292" spans="1:6" x14ac:dyDescent="0.2">
      <c r="A292" s="107"/>
      <c r="B292" s="1"/>
      <c r="F292" s="2"/>
    </row>
    <row r="293" spans="1:6" x14ac:dyDescent="0.2">
      <c r="A293" s="107"/>
      <c r="B293" s="1"/>
      <c r="F293" s="2"/>
    </row>
    <row r="294" spans="1:6" x14ac:dyDescent="0.2">
      <c r="A294" s="107"/>
      <c r="B294" s="1"/>
      <c r="F294" s="2"/>
    </row>
    <row r="295" spans="1:6" x14ac:dyDescent="0.2">
      <c r="A295" s="107"/>
      <c r="B295" s="1"/>
      <c r="F295" s="2"/>
    </row>
    <row r="296" spans="1:6" x14ac:dyDescent="0.2">
      <c r="A296" s="107"/>
      <c r="B296" s="1"/>
      <c r="F296" s="2"/>
    </row>
    <row r="297" spans="1:6" x14ac:dyDescent="0.2">
      <c r="A297" s="107"/>
      <c r="B297" s="1"/>
      <c r="F297" s="2"/>
    </row>
    <row r="298" spans="1:6" x14ac:dyDescent="0.2">
      <c r="A298" s="107"/>
      <c r="B298" s="1"/>
      <c r="F298" s="2"/>
    </row>
    <row r="299" spans="1:6" x14ac:dyDescent="0.2">
      <c r="A299" s="107"/>
      <c r="B299" s="1"/>
      <c r="F299" s="2"/>
    </row>
    <row r="300" spans="1:6" x14ac:dyDescent="0.2">
      <c r="A300" s="107"/>
      <c r="B300" s="1"/>
      <c r="F300" s="2"/>
    </row>
    <row r="301" spans="1:6" x14ac:dyDescent="0.2">
      <c r="A301" s="107"/>
      <c r="B301" s="1"/>
      <c r="F301" s="2"/>
    </row>
    <row r="302" spans="1:6" x14ac:dyDescent="0.2">
      <c r="A302" s="107"/>
      <c r="B302" s="1"/>
      <c r="F302" s="2"/>
    </row>
    <row r="303" spans="1:6" x14ac:dyDescent="0.2">
      <c r="A303" s="107"/>
      <c r="B303" s="1"/>
      <c r="F303" s="2"/>
    </row>
    <row r="304" spans="1:6" x14ac:dyDescent="0.2">
      <c r="A304" s="107"/>
      <c r="B304" s="1"/>
      <c r="F304" s="2"/>
    </row>
    <row r="305" spans="1:6" x14ac:dyDescent="0.2">
      <c r="A305" s="107"/>
      <c r="B305" s="1"/>
      <c r="F305" s="2"/>
    </row>
    <row r="306" spans="1:6" x14ac:dyDescent="0.2">
      <c r="A306" s="107"/>
      <c r="B306" s="1"/>
      <c r="F306" s="2"/>
    </row>
    <row r="307" spans="1:6" x14ac:dyDescent="0.2">
      <c r="A307" s="107"/>
      <c r="B307" s="1"/>
      <c r="F307" s="2"/>
    </row>
    <row r="308" spans="1:6" x14ac:dyDescent="0.2">
      <c r="A308" s="107"/>
      <c r="B308" s="1"/>
      <c r="F308" s="2"/>
    </row>
    <row r="309" spans="1:6" x14ac:dyDescent="0.2">
      <c r="A309" s="107"/>
      <c r="B309" s="1"/>
      <c r="F309" s="2"/>
    </row>
    <row r="310" spans="1:6" x14ac:dyDescent="0.2">
      <c r="A310" s="107"/>
      <c r="B310" s="1"/>
      <c r="F310" s="2"/>
    </row>
    <row r="311" spans="1:6" x14ac:dyDescent="0.2">
      <c r="A311" s="107"/>
      <c r="B311" s="1"/>
      <c r="F311" s="2"/>
    </row>
    <row r="312" spans="1:6" x14ac:dyDescent="0.2">
      <c r="A312" s="107"/>
      <c r="B312" s="1"/>
      <c r="F312" s="2"/>
    </row>
    <row r="313" spans="1:6" x14ac:dyDescent="0.2">
      <c r="A313" s="107"/>
      <c r="B313" s="1"/>
      <c r="F313" s="2"/>
    </row>
    <row r="314" spans="1:6" x14ac:dyDescent="0.2">
      <c r="A314" s="107"/>
      <c r="B314" s="1"/>
      <c r="F314" s="2"/>
    </row>
    <row r="315" spans="1:6" x14ac:dyDescent="0.2">
      <c r="A315" s="107"/>
      <c r="B315" s="1"/>
      <c r="F315" s="2"/>
    </row>
    <row r="316" spans="1:6" x14ac:dyDescent="0.2">
      <c r="A316" s="107"/>
      <c r="B316" s="1"/>
      <c r="F316" s="2"/>
    </row>
    <row r="317" spans="1:6" x14ac:dyDescent="0.2">
      <c r="A317" s="107"/>
      <c r="B317" s="1"/>
      <c r="F317" s="2"/>
    </row>
    <row r="318" spans="1:6" x14ac:dyDescent="0.2">
      <c r="A318" s="107"/>
      <c r="B318" s="1"/>
      <c r="F318" s="2"/>
    </row>
    <row r="319" spans="1:6" x14ac:dyDescent="0.2">
      <c r="A319" s="107"/>
      <c r="B319" s="1"/>
      <c r="F319" s="2"/>
    </row>
    <row r="320" spans="1:6" x14ac:dyDescent="0.2">
      <c r="A320" s="107"/>
      <c r="B320" s="1"/>
      <c r="F320" s="2"/>
    </row>
    <row r="321" spans="1:6" x14ac:dyDescent="0.2">
      <c r="A321" s="107"/>
      <c r="B321" s="1"/>
      <c r="F321" s="2"/>
    </row>
    <row r="322" spans="1:6" x14ac:dyDescent="0.2">
      <c r="A322" s="107"/>
      <c r="B322" s="1"/>
      <c r="F322" s="2"/>
    </row>
    <row r="323" spans="1:6" x14ac:dyDescent="0.2">
      <c r="A323" s="107"/>
      <c r="B323" s="1"/>
      <c r="F323" s="2"/>
    </row>
    <row r="324" spans="1:6" x14ac:dyDescent="0.2">
      <c r="A324" s="107"/>
      <c r="B324" s="1"/>
      <c r="F324" s="2"/>
    </row>
    <row r="325" spans="1:6" x14ac:dyDescent="0.2">
      <c r="A325" s="107"/>
      <c r="B325" s="1"/>
      <c r="F325" s="2"/>
    </row>
    <row r="326" spans="1:6" x14ac:dyDescent="0.2">
      <c r="A326" s="107"/>
      <c r="B326" s="1"/>
      <c r="F326" s="2"/>
    </row>
    <row r="327" spans="1:6" x14ac:dyDescent="0.2">
      <c r="A327" s="107"/>
      <c r="B327" s="1"/>
      <c r="F327" s="2"/>
    </row>
    <row r="328" spans="1:6" x14ac:dyDescent="0.2">
      <c r="A328" s="107"/>
      <c r="B328" s="1"/>
      <c r="F328" s="2"/>
    </row>
    <row r="329" spans="1:6" x14ac:dyDescent="0.2">
      <c r="A329" s="107"/>
      <c r="B329" s="1"/>
      <c r="F329" s="2"/>
    </row>
    <row r="330" spans="1:6" x14ac:dyDescent="0.2">
      <c r="A330" s="107"/>
      <c r="B330" s="1"/>
      <c r="F330" s="2"/>
    </row>
    <row r="331" spans="1:6" x14ac:dyDescent="0.2">
      <c r="A331" s="107"/>
      <c r="B331" s="1"/>
      <c r="F331" s="2"/>
    </row>
    <row r="332" spans="1:6" x14ac:dyDescent="0.2">
      <c r="A332" s="107"/>
      <c r="B332" s="1"/>
      <c r="F332" s="2"/>
    </row>
    <row r="333" spans="1:6" x14ac:dyDescent="0.2">
      <c r="A333" s="107"/>
      <c r="B333" s="1"/>
      <c r="F333" s="2"/>
    </row>
    <row r="334" spans="1:6" x14ac:dyDescent="0.2">
      <c r="A334" s="107"/>
      <c r="B334" s="1"/>
      <c r="F334" s="2"/>
    </row>
    <row r="335" spans="1:6" x14ac:dyDescent="0.2">
      <c r="A335" s="107"/>
      <c r="B335" s="1"/>
      <c r="F335" s="2"/>
    </row>
    <row r="336" spans="1:6" x14ac:dyDescent="0.2">
      <c r="A336" s="107"/>
      <c r="B336" s="1"/>
      <c r="F336" s="2"/>
    </row>
    <row r="337" spans="1:6" x14ac:dyDescent="0.2">
      <c r="A337" s="107"/>
      <c r="B337" s="1"/>
      <c r="F337" s="2"/>
    </row>
    <row r="338" spans="1:6" x14ac:dyDescent="0.2">
      <c r="A338" s="107"/>
      <c r="B338" s="1"/>
      <c r="F338" s="2"/>
    </row>
    <row r="339" spans="1:6" x14ac:dyDescent="0.2">
      <c r="A339" s="107"/>
      <c r="B339" s="1"/>
      <c r="F339" s="2"/>
    </row>
    <row r="340" spans="1:6" x14ac:dyDescent="0.2">
      <c r="A340" s="107"/>
      <c r="B340" s="1"/>
      <c r="F340" s="2"/>
    </row>
    <row r="341" spans="1:6" x14ac:dyDescent="0.2">
      <c r="A341" s="107"/>
      <c r="B341" s="1"/>
      <c r="F341" s="2"/>
    </row>
    <row r="342" spans="1:6" x14ac:dyDescent="0.2">
      <c r="A342" s="107"/>
      <c r="B342" s="1"/>
      <c r="F342" s="2"/>
    </row>
    <row r="343" spans="1:6" x14ac:dyDescent="0.2">
      <c r="A343" s="107"/>
      <c r="B343" s="1"/>
      <c r="F343" s="2"/>
    </row>
    <row r="344" spans="1:6" x14ac:dyDescent="0.2">
      <c r="A344" s="107"/>
      <c r="B344" s="1"/>
      <c r="F344" s="2"/>
    </row>
    <row r="345" spans="1:6" x14ac:dyDescent="0.2">
      <c r="A345" s="107"/>
      <c r="B345" s="1"/>
      <c r="F345" s="2"/>
    </row>
    <row r="346" spans="1:6" x14ac:dyDescent="0.2">
      <c r="A346" s="107"/>
      <c r="B346" s="1"/>
      <c r="F346" s="2"/>
    </row>
    <row r="347" spans="1:6" x14ac:dyDescent="0.2">
      <c r="A347" s="107"/>
      <c r="B347" s="1"/>
      <c r="F347" s="2"/>
    </row>
    <row r="348" spans="1:6" x14ac:dyDescent="0.2">
      <c r="A348" s="107"/>
      <c r="B348" s="1"/>
      <c r="F348" s="2"/>
    </row>
    <row r="349" spans="1:6" x14ac:dyDescent="0.2">
      <c r="A349" s="107"/>
      <c r="B349" s="1"/>
      <c r="F349" s="2"/>
    </row>
    <row r="350" spans="1:6" x14ac:dyDescent="0.2">
      <c r="A350" s="107"/>
      <c r="B350" s="1"/>
      <c r="F350" s="2"/>
    </row>
    <row r="351" spans="1:6" x14ac:dyDescent="0.2">
      <c r="A351" s="107"/>
      <c r="B351" s="1"/>
      <c r="F351" s="2"/>
    </row>
    <row r="352" spans="1:6" x14ac:dyDescent="0.2">
      <c r="A352" s="107"/>
      <c r="B352" s="1"/>
      <c r="F352" s="2"/>
    </row>
    <row r="353" spans="1:6" x14ac:dyDescent="0.2">
      <c r="A353" s="107"/>
      <c r="B353" s="1"/>
      <c r="F353" s="2"/>
    </row>
    <row r="354" spans="1:6" x14ac:dyDescent="0.2">
      <c r="A354" s="107"/>
      <c r="B354" s="1"/>
      <c r="F354" s="2"/>
    </row>
    <row r="355" spans="1:6" x14ac:dyDescent="0.2">
      <c r="A355" s="107"/>
      <c r="B355" s="1"/>
      <c r="F355" s="2"/>
    </row>
    <row r="356" spans="1:6" x14ac:dyDescent="0.2">
      <c r="A356" s="107"/>
      <c r="B356" s="1"/>
      <c r="F356" s="2"/>
    </row>
    <row r="357" spans="1:6" x14ac:dyDescent="0.2">
      <c r="A357" s="107"/>
      <c r="B357" s="1"/>
      <c r="F357" s="2"/>
    </row>
    <row r="358" spans="1:6" x14ac:dyDescent="0.2">
      <c r="A358" s="107"/>
      <c r="B358" s="1"/>
      <c r="F358" s="2"/>
    </row>
    <row r="359" spans="1:6" x14ac:dyDescent="0.2">
      <c r="A359" s="107"/>
      <c r="B359" s="1"/>
      <c r="F359" s="2"/>
    </row>
    <row r="360" spans="1:6" x14ac:dyDescent="0.2">
      <c r="A360" s="107"/>
      <c r="B360" s="1"/>
      <c r="F360" s="2"/>
    </row>
    <row r="361" spans="1:6" x14ac:dyDescent="0.2">
      <c r="A361" s="107"/>
      <c r="B361" s="1"/>
      <c r="F361" s="2"/>
    </row>
    <row r="362" spans="1:6" x14ac:dyDescent="0.2">
      <c r="A362" s="107"/>
      <c r="B362" s="1"/>
      <c r="F362" s="2"/>
    </row>
    <row r="363" spans="1:6" x14ac:dyDescent="0.2">
      <c r="A363" s="107"/>
      <c r="B363" s="1"/>
      <c r="F363" s="2"/>
    </row>
    <row r="364" spans="1:6" x14ac:dyDescent="0.2">
      <c r="A364" s="107"/>
      <c r="B364" s="1"/>
      <c r="F364" s="2"/>
    </row>
    <row r="365" spans="1:6" x14ac:dyDescent="0.2">
      <c r="A365" s="107"/>
      <c r="B365" s="1"/>
      <c r="F365" s="2"/>
    </row>
    <row r="366" spans="1:6" x14ac:dyDescent="0.2">
      <c r="A366" s="107"/>
      <c r="B366" s="1"/>
      <c r="F366" s="2"/>
    </row>
    <row r="367" spans="1:6" x14ac:dyDescent="0.2">
      <c r="A367" s="107"/>
      <c r="B367" s="1"/>
      <c r="F367" s="2"/>
    </row>
    <row r="368" spans="1:6" x14ac:dyDescent="0.2">
      <c r="A368" s="107"/>
      <c r="B368" s="1"/>
      <c r="F368" s="2"/>
    </row>
    <row r="369" spans="1:6" x14ac:dyDescent="0.2">
      <c r="A369" s="107"/>
      <c r="B369" s="1"/>
      <c r="F369" s="2"/>
    </row>
    <row r="370" spans="1:6" x14ac:dyDescent="0.2">
      <c r="A370" s="107"/>
      <c r="B370" s="1"/>
      <c r="F370" s="2"/>
    </row>
    <row r="371" spans="1:6" x14ac:dyDescent="0.2">
      <c r="A371" s="107"/>
      <c r="B371" s="1"/>
      <c r="F371" s="2"/>
    </row>
    <row r="372" spans="1:6" x14ac:dyDescent="0.2">
      <c r="A372" s="107"/>
      <c r="B372" s="1"/>
      <c r="F372" s="2"/>
    </row>
    <row r="373" spans="1:6" x14ac:dyDescent="0.2">
      <c r="A373" s="107"/>
      <c r="B373" s="1"/>
      <c r="F373" s="2"/>
    </row>
    <row r="374" spans="1:6" x14ac:dyDescent="0.2">
      <c r="A374" s="107"/>
      <c r="B374" s="1"/>
      <c r="F374" s="2"/>
    </row>
    <row r="375" spans="1:6" x14ac:dyDescent="0.2">
      <c r="A375" s="107"/>
      <c r="B375" s="1"/>
      <c r="F375" s="2"/>
    </row>
    <row r="376" spans="1:6" x14ac:dyDescent="0.2">
      <c r="A376" s="107"/>
      <c r="B376" s="1"/>
      <c r="F376" s="2"/>
    </row>
    <row r="377" spans="1:6" x14ac:dyDescent="0.2">
      <c r="A377" s="107"/>
      <c r="B377" s="1"/>
      <c r="F377" s="2"/>
    </row>
    <row r="378" spans="1:6" x14ac:dyDescent="0.2">
      <c r="A378" s="107"/>
      <c r="B378" s="1"/>
      <c r="F378" s="2"/>
    </row>
    <row r="379" spans="1:6" x14ac:dyDescent="0.2">
      <c r="A379" s="107"/>
      <c r="B379" s="1"/>
      <c r="F379" s="2"/>
    </row>
    <row r="380" spans="1:6" x14ac:dyDescent="0.2">
      <c r="A380" s="107"/>
      <c r="B380" s="1"/>
      <c r="F380" s="2"/>
    </row>
    <row r="381" spans="1:6" x14ac:dyDescent="0.2">
      <c r="A381" s="107"/>
      <c r="B381" s="1"/>
      <c r="F381" s="2"/>
    </row>
    <row r="382" spans="1:6" x14ac:dyDescent="0.2">
      <c r="A382" s="107"/>
      <c r="B382" s="1"/>
      <c r="F382" s="2"/>
    </row>
    <row r="383" spans="1:6" x14ac:dyDescent="0.2">
      <c r="A383" s="107"/>
      <c r="B383" s="1"/>
      <c r="F383" s="2"/>
    </row>
    <row r="384" spans="1:6" x14ac:dyDescent="0.2">
      <c r="A384" s="107"/>
      <c r="B384" s="1"/>
      <c r="F384" s="2"/>
    </row>
    <row r="385" spans="1:6" x14ac:dyDescent="0.2">
      <c r="A385" s="107"/>
      <c r="B385" s="1"/>
      <c r="F385" s="2"/>
    </row>
    <row r="386" spans="1:6" x14ac:dyDescent="0.2">
      <c r="A386" s="107"/>
      <c r="B386" s="1"/>
      <c r="F386" s="2"/>
    </row>
    <row r="387" spans="1:6" x14ac:dyDescent="0.2">
      <c r="A387" s="107"/>
      <c r="B387" s="1"/>
      <c r="F387" s="2"/>
    </row>
    <row r="388" spans="1:6" x14ac:dyDescent="0.2">
      <c r="A388" s="107"/>
      <c r="B388" s="1"/>
      <c r="F388" s="2"/>
    </row>
    <row r="389" spans="1:6" x14ac:dyDescent="0.2">
      <c r="A389" s="107"/>
      <c r="B389" s="1"/>
      <c r="F389" s="2"/>
    </row>
    <row r="390" spans="1:6" x14ac:dyDescent="0.2">
      <c r="A390" s="107"/>
      <c r="B390" s="1"/>
      <c r="F390" s="2"/>
    </row>
    <row r="391" spans="1:6" x14ac:dyDescent="0.2">
      <c r="A391" s="107"/>
      <c r="B391" s="1"/>
      <c r="F391" s="2"/>
    </row>
    <row r="392" spans="1:6" x14ac:dyDescent="0.2">
      <c r="A392" s="107"/>
      <c r="B392" s="1"/>
      <c r="F392" s="2"/>
    </row>
    <row r="393" spans="1:6" x14ac:dyDescent="0.2">
      <c r="A393" s="107"/>
      <c r="B393" s="1"/>
      <c r="F393" s="2"/>
    </row>
    <row r="394" spans="1:6" x14ac:dyDescent="0.2">
      <c r="A394" s="107"/>
      <c r="B394" s="1"/>
      <c r="F394" s="2"/>
    </row>
    <row r="395" spans="1:6" x14ac:dyDescent="0.2">
      <c r="A395" s="107"/>
      <c r="B395" s="1"/>
      <c r="F395" s="2"/>
    </row>
    <row r="396" spans="1:6" x14ac:dyDescent="0.2">
      <c r="A396" s="107"/>
      <c r="B396" s="1"/>
      <c r="F396" s="2"/>
    </row>
    <row r="397" spans="1:6" x14ac:dyDescent="0.2">
      <c r="A397" s="107"/>
      <c r="B397" s="1"/>
      <c r="F397" s="2"/>
    </row>
    <row r="398" spans="1:6" x14ac:dyDescent="0.2">
      <c r="A398" s="107"/>
      <c r="B398" s="1"/>
      <c r="F398" s="2"/>
    </row>
    <row r="399" spans="1:6" x14ac:dyDescent="0.2">
      <c r="A399" s="107"/>
      <c r="B399" s="1"/>
      <c r="F399" s="2"/>
    </row>
    <row r="400" spans="1:6" x14ac:dyDescent="0.2">
      <c r="A400" s="107"/>
      <c r="B400" s="1"/>
      <c r="F400" s="2"/>
    </row>
    <row r="401" spans="1:6" x14ac:dyDescent="0.2">
      <c r="A401" s="107"/>
      <c r="B401" s="1"/>
      <c r="F401" s="2"/>
    </row>
    <row r="402" spans="1:6" x14ac:dyDescent="0.2">
      <c r="A402" s="107"/>
      <c r="B402" s="1"/>
      <c r="F402" s="2"/>
    </row>
    <row r="403" spans="1:6" x14ac:dyDescent="0.2">
      <c r="A403" s="107"/>
      <c r="B403" s="1"/>
      <c r="F403" s="2"/>
    </row>
    <row r="404" spans="1:6" x14ac:dyDescent="0.2">
      <c r="A404" s="107"/>
      <c r="B404" s="1"/>
      <c r="F404" s="2"/>
    </row>
    <row r="405" spans="1:6" x14ac:dyDescent="0.2">
      <c r="A405" s="107"/>
      <c r="B405" s="1"/>
      <c r="F405" s="2"/>
    </row>
    <row r="406" spans="1:6" x14ac:dyDescent="0.2">
      <c r="A406" s="107"/>
      <c r="B406" s="1"/>
      <c r="F406" s="2"/>
    </row>
    <row r="407" spans="1:6" x14ac:dyDescent="0.2">
      <c r="A407" s="107"/>
      <c r="B407" s="1"/>
      <c r="F407" s="2"/>
    </row>
    <row r="408" spans="1:6" x14ac:dyDescent="0.2">
      <c r="A408" s="107"/>
      <c r="B408" s="1"/>
      <c r="F408" s="2"/>
    </row>
    <row r="409" spans="1:6" x14ac:dyDescent="0.2">
      <c r="A409" s="107"/>
      <c r="B409" s="1"/>
      <c r="F409" s="2"/>
    </row>
    <row r="410" spans="1:6" x14ac:dyDescent="0.2">
      <c r="A410" s="107"/>
      <c r="B410" s="1"/>
      <c r="F410" s="2"/>
    </row>
    <row r="411" spans="1:6" x14ac:dyDescent="0.2">
      <c r="A411" s="107"/>
      <c r="B411" s="1"/>
      <c r="F411" s="2"/>
    </row>
    <row r="412" spans="1:6" x14ac:dyDescent="0.2">
      <c r="A412" s="107"/>
      <c r="B412" s="1"/>
      <c r="F412" s="2"/>
    </row>
    <row r="413" spans="1:6" x14ac:dyDescent="0.2">
      <c r="A413" s="107"/>
      <c r="B413" s="1"/>
      <c r="F413" s="2"/>
    </row>
    <row r="414" spans="1:6" x14ac:dyDescent="0.2">
      <c r="A414" s="107"/>
      <c r="B414" s="1"/>
      <c r="F414" s="2"/>
    </row>
    <row r="415" spans="1:6" x14ac:dyDescent="0.2">
      <c r="A415" s="107"/>
      <c r="B415" s="1"/>
      <c r="F415" s="2"/>
    </row>
    <row r="416" spans="1:6" x14ac:dyDescent="0.2">
      <c r="A416" s="107"/>
      <c r="B416" s="1"/>
      <c r="F416" s="2"/>
    </row>
    <row r="417" spans="1:6" x14ac:dyDescent="0.2">
      <c r="A417" s="107"/>
      <c r="B417" s="1"/>
      <c r="F417" s="2"/>
    </row>
    <row r="418" spans="1:6" x14ac:dyDescent="0.2">
      <c r="A418" s="107"/>
      <c r="B418" s="1"/>
      <c r="F418" s="2"/>
    </row>
    <row r="419" spans="1:6" x14ac:dyDescent="0.2">
      <c r="A419" s="107"/>
      <c r="B419" s="1"/>
      <c r="F419" s="2"/>
    </row>
    <row r="420" spans="1:6" x14ac:dyDescent="0.2">
      <c r="A420" s="107"/>
      <c r="B420" s="1"/>
      <c r="F420" s="2"/>
    </row>
    <row r="421" spans="1:6" x14ac:dyDescent="0.2">
      <c r="A421" s="107"/>
      <c r="B421" s="1"/>
      <c r="F421" s="2"/>
    </row>
    <row r="422" spans="1:6" x14ac:dyDescent="0.2">
      <c r="A422" s="107"/>
      <c r="B422" s="1"/>
      <c r="F422" s="2"/>
    </row>
    <row r="423" spans="1:6" x14ac:dyDescent="0.2">
      <c r="A423" s="107"/>
      <c r="B423" s="1"/>
      <c r="F423" s="2"/>
    </row>
    <row r="424" spans="1:6" x14ac:dyDescent="0.2">
      <c r="A424" s="107"/>
      <c r="B424" s="1"/>
      <c r="F424" s="2"/>
    </row>
    <row r="425" spans="1:6" x14ac:dyDescent="0.2">
      <c r="A425" s="107"/>
      <c r="B425" s="1"/>
      <c r="F425" s="2"/>
    </row>
    <row r="426" spans="1:6" x14ac:dyDescent="0.2">
      <c r="A426" s="107"/>
      <c r="B426" s="1"/>
      <c r="F426" s="2"/>
    </row>
    <row r="427" spans="1:6" x14ac:dyDescent="0.2">
      <c r="A427" s="107"/>
      <c r="B427" s="1"/>
      <c r="F427" s="2"/>
    </row>
    <row r="428" spans="1:6" x14ac:dyDescent="0.2">
      <c r="A428" s="107"/>
      <c r="B428" s="1"/>
      <c r="F428" s="2"/>
    </row>
    <row r="429" spans="1:6" x14ac:dyDescent="0.2">
      <c r="A429" s="107"/>
      <c r="B429" s="1"/>
      <c r="F429" s="2"/>
    </row>
    <row r="430" spans="1:6" x14ac:dyDescent="0.2">
      <c r="A430" s="107"/>
      <c r="B430" s="1"/>
      <c r="F430" s="2"/>
    </row>
    <row r="431" spans="1:6" x14ac:dyDescent="0.2">
      <c r="A431" s="107"/>
      <c r="B431" s="1"/>
      <c r="F431" s="2"/>
    </row>
    <row r="432" spans="1:6" x14ac:dyDescent="0.2">
      <c r="A432" s="107"/>
      <c r="B432" s="1"/>
      <c r="F432" s="2"/>
    </row>
    <row r="433" spans="1:6" x14ac:dyDescent="0.2">
      <c r="A433" s="107"/>
      <c r="B433" s="1"/>
      <c r="F433" s="2"/>
    </row>
    <row r="434" spans="1:6" x14ac:dyDescent="0.2">
      <c r="A434" s="107"/>
      <c r="B434" s="1"/>
      <c r="F434" s="2"/>
    </row>
    <row r="435" spans="1:6" x14ac:dyDescent="0.2">
      <c r="A435" s="107"/>
      <c r="B435" s="1"/>
      <c r="F435" s="2"/>
    </row>
    <row r="436" spans="1:6" x14ac:dyDescent="0.2">
      <c r="A436" s="107"/>
      <c r="B436" s="1"/>
      <c r="F436" s="2"/>
    </row>
    <row r="437" spans="1:6" x14ac:dyDescent="0.2">
      <c r="A437" s="107"/>
      <c r="B437" s="1"/>
      <c r="F437" s="2"/>
    </row>
    <row r="438" spans="1:6" x14ac:dyDescent="0.2">
      <c r="A438" s="107"/>
      <c r="B438" s="1"/>
      <c r="F438" s="2"/>
    </row>
    <row r="439" spans="1:6" x14ac:dyDescent="0.2">
      <c r="A439" s="107"/>
      <c r="B439" s="1"/>
      <c r="F439" s="2"/>
    </row>
    <row r="440" spans="1:6" x14ac:dyDescent="0.2">
      <c r="A440" s="107"/>
      <c r="B440" s="1"/>
      <c r="F440" s="2"/>
    </row>
    <row r="441" spans="1:6" x14ac:dyDescent="0.2">
      <c r="A441" s="107"/>
      <c r="B441" s="1"/>
      <c r="F441" s="2"/>
    </row>
    <row r="442" spans="1:6" x14ac:dyDescent="0.2">
      <c r="A442" s="107"/>
      <c r="B442" s="1"/>
      <c r="F442" s="2"/>
    </row>
    <row r="443" spans="1:6" x14ac:dyDescent="0.2">
      <c r="A443" s="107"/>
      <c r="B443" s="1"/>
      <c r="F443" s="2"/>
    </row>
    <row r="444" spans="1:6" x14ac:dyDescent="0.2">
      <c r="A444" s="107"/>
      <c r="B444" s="1"/>
      <c r="F444" s="2"/>
    </row>
    <row r="445" spans="1:6" x14ac:dyDescent="0.2">
      <c r="A445" s="107"/>
      <c r="B445" s="1"/>
      <c r="F445" s="2"/>
    </row>
    <row r="446" spans="1:6" x14ac:dyDescent="0.2">
      <c r="A446" s="107"/>
      <c r="B446" s="1"/>
      <c r="F446" s="2"/>
    </row>
    <row r="447" spans="1:6" x14ac:dyDescent="0.2">
      <c r="A447" s="107"/>
      <c r="B447" s="1"/>
      <c r="F447" s="2"/>
    </row>
    <row r="448" spans="1:6" x14ac:dyDescent="0.2">
      <c r="A448" s="107"/>
      <c r="B448" s="1"/>
      <c r="F448" s="2"/>
    </row>
    <row r="449" spans="1:6" x14ac:dyDescent="0.2">
      <c r="A449" s="107"/>
      <c r="B449" s="1"/>
      <c r="F449" s="2"/>
    </row>
    <row r="450" spans="1:6" x14ac:dyDescent="0.2">
      <c r="A450" s="107"/>
      <c r="B450" s="1"/>
      <c r="F450" s="2"/>
    </row>
    <row r="451" spans="1:6" x14ac:dyDescent="0.2">
      <c r="A451" s="107"/>
      <c r="B451" s="1"/>
      <c r="F451" s="2"/>
    </row>
    <row r="452" spans="1:6" x14ac:dyDescent="0.2">
      <c r="A452" s="107"/>
      <c r="B452" s="1"/>
      <c r="F452" s="2"/>
    </row>
    <row r="453" spans="1:6" x14ac:dyDescent="0.2">
      <c r="A453" s="107"/>
      <c r="B453" s="1"/>
      <c r="F453" s="2"/>
    </row>
    <row r="454" spans="1:6" x14ac:dyDescent="0.2">
      <c r="A454" s="107"/>
      <c r="B454" s="1"/>
      <c r="F454" s="2"/>
    </row>
    <row r="455" spans="1:6" x14ac:dyDescent="0.2">
      <c r="A455" s="107"/>
      <c r="B455" s="1"/>
      <c r="F455" s="2"/>
    </row>
    <row r="456" spans="1:6" x14ac:dyDescent="0.2">
      <c r="A456" s="107"/>
      <c r="B456" s="1"/>
      <c r="F456" s="2"/>
    </row>
    <row r="457" spans="1:6" x14ac:dyDescent="0.2">
      <c r="A457" s="107"/>
      <c r="B457" s="1"/>
      <c r="F457" s="2"/>
    </row>
    <row r="458" spans="1:6" x14ac:dyDescent="0.2">
      <c r="A458" s="107"/>
      <c r="B458" s="1"/>
      <c r="F458" s="2"/>
    </row>
    <row r="459" spans="1:6" x14ac:dyDescent="0.2">
      <c r="A459" s="107"/>
      <c r="B459" s="1"/>
      <c r="F459" s="2"/>
    </row>
    <row r="460" spans="1:6" x14ac:dyDescent="0.2">
      <c r="A460" s="107"/>
      <c r="B460" s="1"/>
      <c r="F460" s="2"/>
    </row>
    <row r="461" spans="1:6" x14ac:dyDescent="0.2">
      <c r="A461" s="107"/>
      <c r="B461" s="1"/>
      <c r="F461" s="2"/>
    </row>
    <row r="462" spans="1:6" x14ac:dyDescent="0.2">
      <c r="A462" s="107"/>
      <c r="B462" s="1"/>
      <c r="F462" s="2"/>
    </row>
    <row r="463" spans="1:6" x14ac:dyDescent="0.2">
      <c r="A463" s="107"/>
      <c r="B463" s="1"/>
      <c r="F463" s="2"/>
    </row>
    <row r="464" spans="1:6" x14ac:dyDescent="0.2">
      <c r="A464" s="107"/>
      <c r="B464" s="1"/>
      <c r="F464" s="2"/>
    </row>
    <row r="465" spans="1:6" x14ac:dyDescent="0.2">
      <c r="A465" s="107"/>
      <c r="B465" s="1"/>
      <c r="F465" s="2"/>
    </row>
    <row r="466" spans="1:6" x14ac:dyDescent="0.2">
      <c r="A466" s="107"/>
      <c r="B466" s="1"/>
      <c r="F466" s="2"/>
    </row>
    <row r="467" spans="1:6" x14ac:dyDescent="0.2">
      <c r="A467" s="107"/>
      <c r="B467" s="1"/>
      <c r="F467" s="2"/>
    </row>
    <row r="468" spans="1:6" x14ac:dyDescent="0.2">
      <c r="A468" s="107"/>
      <c r="B468" s="1"/>
      <c r="F468" s="2"/>
    </row>
    <row r="469" spans="1:6" x14ac:dyDescent="0.2">
      <c r="A469" s="107"/>
      <c r="B469" s="1"/>
      <c r="F469" s="2"/>
    </row>
    <row r="470" spans="1:6" x14ac:dyDescent="0.2">
      <c r="A470" s="107"/>
      <c r="B470" s="1"/>
      <c r="F470" s="2"/>
    </row>
    <row r="471" spans="1:6" x14ac:dyDescent="0.2">
      <c r="A471" s="107"/>
      <c r="B471" s="1"/>
      <c r="F471" s="2"/>
    </row>
    <row r="472" spans="1:6" x14ac:dyDescent="0.2">
      <c r="A472" s="107"/>
      <c r="B472" s="1"/>
      <c r="F472" s="2"/>
    </row>
    <row r="473" spans="1:6" x14ac:dyDescent="0.2">
      <c r="A473" s="107"/>
      <c r="B473" s="1"/>
      <c r="F473" s="2"/>
    </row>
    <row r="474" spans="1:6" x14ac:dyDescent="0.2">
      <c r="A474" s="107"/>
      <c r="B474" s="1"/>
      <c r="F474" s="2"/>
    </row>
    <row r="475" spans="1:6" x14ac:dyDescent="0.2">
      <c r="A475" s="107"/>
      <c r="B475" s="1"/>
      <c r="F475" s="2"/>
    </row>
    <row r="476" spans="1:6" x14ac:dyDescent="0.2">
      <c r="A476" s="107"/>
      <c r="B476" s="1"/>
      <c r="F476" s="2"/>
    </row>
    <row r="477" spans="1:6" x14ac:dyDescent="0.2">
      <c r="A477" s="107"/>
      <c r="B477" s="1"/>
      <c r="F477" s="2"/>
    </row>
    <row r="478" spans="1:6" x14ac:dyDescent="0.2">
      <c r="A478" s="107"/>
      <c r="B478" s="1"/>
      <c r="F478" s="2"/>
    </row>
    <row r="479" spans="1:6" x14ac:dyDescent="0.2">
      <c r="A479" s="107"/>
      <c r="B479" s="1"/>
      <c r="F479" s="2"/>
    </row>
    <row r="480" spans="1:6" x14ac:dyDescent="0.2">
      <c r="A480" s="107"/>
      <c r="B480" s="1"/>
      <c r="F480" s="2"/>
    </row>
    <row r="481" spans="1:6" x14ac:dyDescent="0.2">
      <c r="A481" s="107"/>
      <c r="B481" s="1"/>
      <c r="F481" s="2"/>
    </row>
    <row r="482" spans="1:6" x14ac:dyDescent="0.2">
      <c r="A482" s="107"/>
      <c r="B482" s="1"/>
      <c r="F482" s="2"/>
    </row>
    <row r="483" spans="1:6" x14ac:dyDescent="0.2">
      <c r="A483" s="107"/>
      <c r="B483" s="1"/>
      <c r="F483" s="2"/>
    </row>
    <row r="484" spans="1:6" x14ac:dyDescent="0.2">
      <c r="A484" s="107"/>
      <c r="B484" s="1"/>
      <c r="F484" s="2"/>
    </row>
    <row r="485" spans="1:6" x14ac:dyDescent="0.2">
      <c r="A485" s="107"/>
      <c r="B485" s="1"/>
      <c r="F485" s="2"/>
    </row>
    <row r="486" spans="1:6" x14ac:dyDescent="0.2">
      <c r="A486" s="107"/>
      <c r="B486" s="1"/>
      <c r="F486" s="2"/>
    </row>
    <row r="487" spans="1:6" x14ac:dyDescent="0.2">
      <c r="A487" s="107"/>
      <c r="B487" s="1"/>
      <c r="F487" s="2"/>
    </row>
    <row r="488" spans="1:6" x14ac:dyDescent="0.2">
      <c r="A488" s="107"/>
      <c r="B488" s="1"/>
      <c r="F488" s="2"/>
    </row>
    <row r="489" spans="1:6" x14ac:dyDescent="0.2">
      <c r="A489" s="107"/>
      <c r="B489" s="1"/>
      <c r="F489" s="2"/>
    </row>
    <row r="490" spans="1:6" x14ac:dyDescent="0.2">
      <c r="A490" s="107"/>
      <c r="B490" s="1"/>
      <c r="F490" s="2"/>
    </row>
    <row r="491" spans="1:6" x14ac:dyDescent="0.2">
      <c r="A491" s="107"/>
      <c r="B491" s="1"/>
      <c r="F491" s="2"/>
    </row>
    <row r="492" spans="1:6" x14ac:dyDescent="0.2">
      <c r="A492" s="107"/>
      <c r="B492" s="1"/>
      <c r="F492" s="2"/>
    </row>
    <row r="493" spans="1:6" x14ac:dyDescent="0.2">
      <c r="A493" s="107"/>
      <c r="B493" s="1"/>
      <c r="F493" s="2"/>
    </row>
    <row r="494" spans="1:6" x14ac:dyDescent="0.2">
      <c r="A494" s="107"/>
      <c r="B494" s="1"/>
      <c r="F494" s="2"/>
    </row>
    <row r="495" spans="1:6" x14ac:dyDescent="0.2">
      <c r="A495" s="107"/>
      <c r="B495" s="1"/>
      <c r="F495" s="2"/>
    </row>
    <row r="496" spans="1:6" x14ac:dyDescent="0.2">
      <c r="A496" s="107"/>
      <c r="B496" s="1"/>
      <c r="F496" s="2"/>
    </row>
    <row r="497" spans="1:6" x14ac:dyDescent="0.2">
      <c r="A497" s="107"/>
      <c r="B497" s="1"/>
      <c r="F497" s="2"/>
    </row>
    <row r="498" spans="1:6" x14ac:dyDescent="0.2">
      <c r="A498" s="107"/>
      <c r="B498" s="1"/>
      <c r="F498" s="2"/>
    </row>
    <row r="499" spans="1:6" x14ac:dyDescent="0.2">
      <c r="A499" s="107"/>
      <c r="B499" s="1"/>
      <c r="F499" s="2"/>
    </row>
    <row r="500" spans="1:6" ht="16" thickBot="1" x14ac:dyDescent="0.25">
      <c r="A500" s="108"/>
      <c r="B500" s="3"/>
      <c r="C500" s="4"/>
      <c r="D500" s="4"/>
      <c r="E500" s="4"/>
      <c r="F500" s="5"/>
    </row>
  </sheetData>
  <mergeCells count="2">
    <mergeCell ref="B2:F2"/>
    <mergeCell ref="A1:F1"/>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508D1-29D4-4476-905C-220B468A9B76}">
  <sheetPr codeName="Sheet4">
    <tabColor rgb="FFFF0000"/>
  </sheetPr>
  <dimension ref="A1:X56"/>
  <sheetViews>
    <sheetView topLeftCell="A7" workbookViewId="0">
      <selection activeCell="A2" sqref="A2:F56"/>
    </sheetView>
  </sheetViews>
  <sheetFormatPr baseColWidth="10" defaultColWidth="8.83203125" defaultRowHeight="15" x14ac:dyDescent="0.2"/>
  <sheetData>
    <row r="1" spans="1:24" ht="16" thickBot="1" x14ac:dyDescent="0.25">
      <c r="A1" t="s">
        <v>196</v>
      </c>
      <c r="K1" s="512" t="s">
        <v>325</v>
      </c>
      <c r="L1" s="513"/>
      <c r="M1" s="513"/>
      <c r="N1" s="513"/>
      <c r="O1" s="513"/>
      <c r="P1" s="513"/>
      <c r="Q1" s="513"/>
      <c r="R1" s="144" t="s">
        <v>326</v>
      </c>
      <c r="S1" s="144" t="s">
        <v>327</v>
      </c>
      <c r="T1" s="142"/>
      <c r="U1" s="142"/>
      <c r="V1" s="142"/>
      <c r="W1" s="142"/>
      <c r="X1" s="143"/>
    </row>
    <row r="2" spans="1:24" ht="17" thickBot="1" x14ac:dyDescent="0.25">
      <c r="A2" s="106" t="s">
        <v>133</v>
      </c>
      <c r="B2" s="103" t="s">
        <v>129</v>
      </c>
      <c r="C2" s="56"/>
      <c r="D2" s="56"/>
      <c r="E2" s="56"/>
      <c r="F2" s="104"/>
      <c r="K2" s="412" t="s">
        <v>13</v>
      </c>
      <c r="L2" s="413"/>
      <c r="M2" s="413"/>
      <c r="N2" s="413"/>
      <c r="O2" s="413"/>
      <c r="P2" s="413"/>
      <c r="Q2" s="444"/>
      <c r="R2" s="414" t="s">
        <v>4</v>
      </c>
      <c r="S2" s="415"/>
      <c r="T2" s="415"/>
      <c r="U2" s="415"/>
      <c r="V2" s="415"/>
      <c r="W2" s="415"/>
      <c r="X2" s="462"/>
    </row>
    <row r="3" spans="1:24" ht="16" x14ac:dyDescent="0.2">
      <c r="A3" s="106" t="s">
        <v>134</v>
      </c>
      <c r="B3" s="103" t="s">
        <v>130</v>
      </c>
      <c r="C3" s="56"/>
      <c r="D3" s="56"/>
      <c r="E3" s="56"/>
      <c r="F3" s="104"/>
      <c r="K3" s="516"/>
      <c r="L3" s="426" t="s">
        <v>11</v>
      </c>
      <c r="M3" s="424"/>
      <c r="N3" s="424"/>
      <c r="O3" s="424"/>
      <c r="P3" s="424"/>
      <c r="Q3" s="425"/>
      <c r="R3" s="514"/>
      <c r="S3" s="411" t="s">
        <v>269</v>
      </c>
      <c r="T3" s="409"/>
      <c r="U3" s="409"/>
      <c r="V3" s="409"/>
      <c r="W3" s="409"/>
      <c r="X3" s="410"/>
    </row>
    <row r="4" spans="1:24" ht="16" x14ac:dyDescent="0.2">
      <c r="A4" s="106" t="s">
        <v>135</v>
      </c>
      <c r="B4" s="103" t="s">
        <v>129</v>
      </c>
      <c r="C4" s="56" t="s">
        <v>127</v>
      </c>
      <c r="D4" s="56"/>
      <c r="E4" s="56"/>
      <c r="F4" s="104"/>
      <c r="K4" s="516"/>
      <c r="L4" s="518" t="s">
        <v>8</v>
      </c>
      <c r="M4" s="519"/>
      <c r="N4" s="519" t="s">
        <v>9</v>
      </c>
      <c r="O4" s="519"/>
      <c r="P4" s="519" t="s">
        <v>10</v>
      </c>
      <c r="Q4" s="534"/>
      <c r="R4" s="514"/>
      <c r="S4" s="532" t="s">
        <v>8</v>
      </c>
      <c r="T4" s="533"/>
      <c r="U4" s="533" t="s">
        <v>9</v>
      </c>
      <c r="V4" s="533"/>
      <c r="W4" s="533" t="s">
        <v>10</v>
      </c>
      <c r="X4" s="535"/>
    </row>
    <row r="5" spans="1:24" ht="16" x14ac:dyDescent="0.2">
      <c r="A5" s="106" t="s">
        <v>136</v>
      </c>
      <c r="B5" s="103" t="s">
        <v>137</v>
      </c>
      <c r="C5" s="56"/>
      <c r="D5" s="56"/>
      <c r="E5" s="56"/>
      <c r="F5" s="104"/>
      <c r="K5" s="516"/>
      <c r="L5" s="9" t="s">
        <v>5</v>
      </c>
      <c r="M5">
        <v>109</v>
      </c>
      <c r="N5" s="12" t="s">
        <v>328</v>
      </c>
      <c r="O5">
        <v>5</v>
      </c>
      <c r="P5" s="12" t="s">
        <v>5</v>
      </c>
      <c r="Q5" s="2">
        <v>647</v>
      </c>
      <c r="R5" s="514"/>
      <c r="S5" s="21" t="s">
        <v>5</v>
      </c>
      <c r="T5">
        <v>109</v>
      </c>
      <c r="U5" s="24" t="s">
        <v>328</v>
      </c>
      <c r="V5">
        <v>5</v>
      </c>
      <c r="W5" s="24" t="s">
        <v>5</v>
      </c>
      <c r="X5" s="2">
        <v>647</v>
      </c>
    </row>
    <row r="6" spans="1:24" ht="16" x14ac:dyDescent="0.2">
      <c r="A6" s="106" t="s">
        <v>138</v>
      </c>
      <c r="B6" s="103" t="s">
        <v>139</v>
      </c>
      <c r="C6" s="56"/>
      <c r="D6" s="56"/>
      <c r="E6" s="56"/>
      <c r="F6" s="104"/>
      <c r="K6" s="516"/>
      <c r="L6" s="10" t="s">
        <v>6</v>
      </c>
      <c r="M6" s="30">
        <v>44</v>
      </c>
      <c r="N6" s="13" t="s">
        <v>5</v>
      </c>
      <c r="O6" s="30" t="s">
        <v>197</v>
      </c>
      <c r="P6" s="13" t="s">
        <v>6</v>
      </c>
      <c r="Q6" s="31">
        <v>444</v>
      </c>
      <c r="R6" s="514"/>
      <c r="S6" s="22" t="s">
        <v>6</v>
      </c>
      <c r="T6" s="30">
        <v>44</v>
      </c>
      <c r="U6" s="25" t="s">
        <v>329</v>
      </c>
      <c r="V6" s="30" t="s">
        <v>197</v>
      </c>
      <c r="W6" s="25" t="s">
        <v>6</v>
      </c>
      <c r="X6" s="31">
        <v>444</v>
      </c>
    </row>
    <row r="7" spans="1:24" ht="17" thickBot="1" x14ac:dyDescent="0.25">
      <c r="A7" s="106" t="s">
        <v>140</v>
      </c>
      <c r="B7" s="103" t="s">
        <v>127</v>
      </c>
      <c r="C7" s="56"/>
      <c r="D7" s="56"/>
      <c r="E7" s="56"/>
      <c r="F7" s="104"/>
      <c r="K7" s="516"/>
      <c r="L7" s="11" t="s">
        <v>7</v>
      </c>
      <c r="M7" s="4" t="s">
        <v>197</v>
      </c>
      <c r="N7" s="14" t="s">
        <v>7</v>
      </c>
      <c r="O7" s="4">
        <v>5</v>
      </c>
      <c r="P7" s="14" t="s">
        <v>7</v>
      </c>
      <c r="Q7" s="5">
        <v>18</v>
      </c>
      <c r="R7" s="514"/>
      <c r="S7" s="23" t="s">
        <v>7</v>
      </c>
      <c r="T7" s="4" t="s">
        <v>197</v>
      </c>
      <c r="U7" s="26" t="s">
        <v>7</v>
      </c>
      <c r="V7" s="4">
        <v>5</v>
      </c>
      <c r="W7" s="26" t="s">
        <v>7</v>
      </c>
      <c r="X7" s="5">
        <v>18</v>
      </c>
    </row>
    <row r="8" spans="1:24" ht="16" x14ac:dyDescent="0.2">
      <c r="A8" s="106" t="s">
        <v>141</v>
      </c>
      <c r="B8" s="103" t="s">
        <v>127</v>
      </c>
      <c r="C8" s="56"/>
      <c r="D8" s="56"/>
      <c r="E8" s="56"/>
      <c r="F8" s="104"/>
      <c r="K8" s="516"/>
      <c r="L8" s="426" t="s">
        <v>12</v>
      </c>
      <c r="M8" s="424"/>
      <c r="N8" s="424"/>
      <c r="O8" s="424"/>
      <c r="P8" s="426" t="s">
        <v>2</v>
      </c>
      <c r="Q8" s="425"/>
      <c r="R8" s="514"/>
      <c r="S8" s="411" t="s">
        <v>12</v>
      </c>
      <c r="T8" s="409"/>
      <c r="U8" s="409"/>
      <c r="V8" s="409"/>
      <c r="W8" s="411" t="s">
        <v>2</v>
      </c>
      <c r="X8" s="410"/>
    </row>
    <row r="9" spans="1:24" ht="16" x14ac:dyDescent="0.2">
      <c r="A9" s="106" t="s">
        <v>142</v>
      </c>
      <c r="B9" s="103" t="s">
        <v>127</v>
      </c>
      <c r="C9" s="56"/>
      <c r="D9" s="56"/>
      <c r="E9" s="56"/>
      <c r="F9" s="104"/>
      <c r="K9" s="516"/>
      <c r="L9" s="518" t="s">
        <v>8</v>
      </c>
      <c r="M9" s="519"/>
      <c r="N9" s="519" t="s">
        <v>10</v>
      </c>
      <c r="O9" s="519"/>
      <c r="P9" s="9" t="s">
        <v>17</v>
      </c>
      <c r="Q9" s="2">
        <v>1</v>
      </c>
      <c r="R9" s="514"/>
      <c r="S9" s="532" t="s">
        <v>8</v>
      </c>
      <c r="T9" s="533"/>
      <c r="U9" s="533" t="s">
        <v>10</v>
      </c>
      <c r="V9" s="533"/>
      <c r="W9" s="21" t="s">
        <v>17</v>
      </c>
      <c r="X9" s="2">
        <v>1</v>
      </c>
    </row>
    <row r="10" spans="1:24" ht="16" x14ac:dyDescent="0.2">
      <c r="A10" s="106" t="s">
        <v>143</v>
      </c>
      <c r="B10" s="103" t="s">
        <v>128</v>
      </c>
      <c r="C10" s="56"/>
      <c r="D10" s="56"/>
      <c r="E10" s="56"/>
      <c r="F10" s="104"/>
      <c r="K10" s="516"/>
      <c r="L10" s="10" t="s">
        <v>5</v>
      </c>
      <c r="M10">
        <v>13</v>
      </c>
      <c r="N10" s="13" t="s">
        <v>5</v>
      </c>
      <c r="O10" t="s">
        <v>197</v>
      </c>
      <c r="P10" s="10" t="s">
        <v>18</v>
      </c>
      <c r="Q10" s="31">
        <v>2</v>
      </c>
      <c r="R10" s="514"/>
      <c r="S10" s="22" t="s">
        <v>5</v>
      </c>
      <c r="T10">
        <v>13</v>
      </c>
      <c r="U10" s="25" t="s">
        <v>5</v>
      </c>
      <c r="V10" t="s">
        <v>197</v>
      </c>
      <c r="W10" s="22" t="s">
        <v>18</v>
      </c>
      <c r="X10" s="31">
        <v>2</v>
      </c>
    </row>
    <row r="11" spans="1:24" ht="16" x14ac:dyDescent="0.2">
      <c r="A11" s="106" t="s">
        <v>144</v>
      </c>
      <c r="B11" s="103" t="s">
        <v>137</v>
      </c>
      <c r="C11" s="56"/>
      <c r="D11" s="56"/>
      <c r="E11" s="56"/>
      <c r="F11" s="104"/>
      <c r="K11" s="516"/>
      <c r="L11" s="10" t="s">
        <v>6</v>
      </c>
      <c r="M11" s="30">
        <v>6</v>
      </c>
      <c r="N11" s="13" t="s">
        <v>6</v>
      </c>
      <c r="O11" s="30" t="s">
        <v>197</v>
      </c>
      <c r="P11" s="10" t="s">
        <v>19</v>
      </c>
      <c r="Q11" s="2">
        <v>3</v>
      </c>
      <c r="R11" s="514"/>
      <c r="S11" s="22" t="s">
        <v>6</v>
      </c>
      <c r="T11" s="30">
        <v>6</v>
      </c>
      <c r="U11" s="25" t="s">
        <v>6</v>
      </c>
      <c r="V11" s="30" t="s">
        <v>197</v>
      </c>
      <c r="W11" s="22" t="s">
        <v>19</v>
      </c>
      <c r="X11" s="2">
        <v>3</v>
      </c>
    </row>
    <row r="12" spans="1:24" ht="17" thickBot="1" x14ac:dyDescent="0.25">
      <c r="A12" s="106" t="s">
        <v>145</v>
      </c>
      <c r="B12" s="103" t="s">
        <v>129</v>
      </c>
      <c r="C12" s="56"/>
      <c r="D12" s="56"/>
      <c r="E12" s="56"/>
      <c r="F12" s="104"/>
      <c r="K12" s="516"/>
      <c r="L12" s="11" t="s">
        <v>7</v>
      </c>
      <c r="M12" s="4">
        <v>1</v>
      </c>
      <c r="N12" s="14" t="s">
        <v>7</v>
      </c>
      <c r="O12" s="4" t="s">
        <v>197</v>
      </c>
      <c r="P12" s="11" t="s">
        <v>20</v>
      </c>
      <c r="Q12" s="33">
        <v>4</v>
      </c>
      <c r="R12" s="514"/>
      <c r="S12" s="23" t="s">
        <v>7</v>
      </c>
      <c r="T12" s="4">
        <v>1</v>
      </c>
      <c r="U12" s="26" t="s">
        <v>7</v>
      </c>
      <c r="V12" s="4" t="s">
        <v>197</v>
      </c>
      <c r="W12" s="23" t="s">
        <v>20</v>
      </c>
      <c r="X12" s="33">
        <v>4</v>
      </c>
    </row>
    <row r="13" spans="1:24" ht="17" thickBot="1" x14ac:dyDescent="0.25">
      <c r="A13" s="106" t="s">
        <v>146</v>
      </c>
      <c r="B13" s="103" t="s">
        <v>129</v>
      </c>
      <c r="C13" s="56"/>
      <c r="D13" s="56"/>
      <c r="E13" s="56"/>
      <c r="F13" s="104"/>
      <c r="K13" s="516"/>
      <c r="L13" s="520" t="s">
        <v>0</v>
      </c>
      <c r="M13" s="521"/>
      <c r="N13" s="139" t="s">
        <v>267</v>
      </c>
      <c r="O13" s="135"/>
      <c r="P13" s="139" t="s">
        <v>268</v>
      </c>
      <c r="Q13" s="134"/>
      <c r="R13" s="514"/>
      <c r="S13" s="523" t="s">
        <v>0</v>
      </c>
      <c r="T13" s="524"/>
      <c r="U13" s="133" t="s">
        <v>267</v>
      </c>
      <c r="V13" s="135"/>
      <c r="W13" s="133" t="s">
        <v>268</v>
      </c>
      <c r="X13" s="134"/>
    </row>
    <row r="14" spans="1:24" ht="16" x14ac:dyDescent="0.2">
      <c r="A14" s="106" t="s">
        <v>147</v>
      </c>
      <c r="B14" s="103" t="s">
        <v>130</v>
      </c>
      <c r="C14" s="56"/>
      <c r="D14" s="56"/>
      <c r="E14" s="56"/>
      <c r="F14" s="104"/>
      <c r="K14" s="516"/>
      <c r="L14" s="522" t="s">
        <v>262</v>
      </c>
      <c r="M14" s="322"/>
      <c r="N14" s="322"/>
      <c r="O14" s="322"/>
      <c r="P14" s="322"/>
      <c r="Q14" s="323"/>
      <c r="R14" s="514"/>
      <c r="S14" s="525" t="s">
        <v>262</v>
      </c>
      <c r="T14" s="320"/>
      <c r="U14" s="320"/>
      <c r="V14" s="320"/>
      <c r="W14" s="320"/>
      <c r="X14" s="321"/>
    </row>
    <row r="15" spans="1:24" ht="16" x14ac:dyDescent="0.2">
      <c r="A15" s="106" t="s">
        <v>148</v>
      </c>
      <c r="B15" s="103" t="s">
        <v>149</v>
      </c>
      <c r="C15" s="56"/>
      <c r="D15" s="56"/>
      <c r="E15" s="56"/>
      <c r="F15" s="104"/>
      <c r="K15" s="516"/>
      <c r="L15" s="136" t="s">
        <v>263</v>
      </c>
      <c r="M15" s="137" t="s">
        <v>132</v>
      </c>
      <c r="N15" s="137" t="s">
        <v>264</v>
      </c>
      <c r="O15" s="137" t="s">
        <v>22</v>
      </c>
      <c r="P15" s="137" t="s">
        <v>259</v>
      </c>
      <c r="Q15" s="138" t="s">
        <v>97</v>
      </c>
      <c r="R15" s="514"/>
      <c r="S15" s="27" t="s">
        <v>263</v>
      </c>
      <c r="T15" s="28" t="s">
        <v>132</v>
      </c>
      <c r="U15" s="28" t="s">
        <v>264</v>
      </c>
      <c r="V15" s="28" t="s">
        <v>22</v>
      </c>
      <c r="W15" s="28" t="s">
        <v>259</v>
      </c>
      <c r="X15" s="29" t="s">
        <v>97</v>
      </c>
    </row>
    <row r="16" spans="1:24" ht="17" thickBot="1" x14ac:dyDescent="0.25">
      <c r="A16" s="106" t="s">
        <v>150</v>
      </c>
      <c r="B16" s="103" t="s">
        <v>149</v>
      </c>
      <c r="C16" s="56"/>
      <c r="D16" s="56"/>
      <c r="E16" s="56"/>
      <c r="F16" s="104"/>
      <c r="K16" s="516"/>
      <c r="L16" s="1">
        <v>10</v>
      </c>
      <c r="M16" s="30">
        <v>4</v>
      </c>
      <c r="N16">
        <v>0</v>
      </c>
      <c r="O16" s="30">
        <v>0</v>
      </c>
      <c r="P16">
        <v>16</v>
      </c>
      <c r="Q16" s="31">
        <v>5</v>
      </c>
      <c r="R16" s="514"/>
      <c r="S16" s="1">
        <v>10</v>
      </c>
      <c r="T16" s="30">
        <v>4</v>
      </c>
      <c r="U16">
        <v>0</v>
      </c>
      <c r="V16" s="30">
        <v>0</v>
      </c>
      <c r="W16">
        <v>16</v>
      </c>
      <c r="X16" s="31">
        <v>5</v>
      </c>
    </row>
    <row r="17" spans="1:24" ht="16" x14ac:dyDescent="0.2">
      <c r="A17" s="106" t="s">
        <v>151</v>
      </c>
      <c r="B17" s="103" t="s">
        <v>129</v>
      </c>
      <c r="C17" s="56"/>
      <c r="D17" s="56"/>
      <c r="E17" s="56"/>
      <c r="F17" s="104"/>
      <c r="K17" s="516"/>
      <c r="L17" s="522" t="s">
        <v>265</v>
      </c>
      <c r="M17" s="322"/>
      <c r="N17" s="322"/>
      <c r="O17" s="322"/>
      <c r="P17" s="322"/>
      <c r="Q17" s="323"/>
      <c r="R17" s="514"/>
      <c r="S17" s="525" t="s">
        <v>265</v>
      </c>
      <c r="T17" s="320"/>
      <c r="U17" s="320"/>
      <c r="V17" s="320"/>
      <c r="W17" s="320"/>
      <c r="X17" s="321"/>
    </row>
    <row r="18" spans="1:24" ht="16" x14ac:dyDescent="0.2">
      <c r="A18" s="106" t="s">
        <v>152</v>
      </c>
      <c r="B18" s="103" t="s">
        <v>153</v>
      </c>
      <c r="C18" s="56" t="s">
        <v>154</v>
      </c>
      <c r="D18" s="56" t="s">
        <v>155</v>
      </c>
      <c r="E18" s="56"/>
      <c r="F18" s="104"/>
      <c r="K18" s="516"/>
      <c r="L18" s="136" t="s">
        <v>263</v>
      </c>
      <c r="M18" s="137" t="s">
        <v>132</v>
      </c>
      <c r="N18" s="137" t="s">
        <v>264</v>
      </c>
      <c r="O18" s="137" t="s">
        <v>22</v>
      </c>
      <c r="P18" s="137" t="s">
        <v>259</v>
      </c>
      <c r="Q18" s="138" t="s">
        <v>97</v>
      </c>
      <c r="R18" s="514"/>
      <c r="S18" s="27" t="s">
        <v>263</v>
      </c>
      <c r="T18" s="28" t="s">
        <v>132</v>
      </c>
      <c r="U18" s="28" t="s">
        <v>264</v>
      </c>
      <c r="V18" s="28" t="s">
        <v>22</v>
      </c>
      <c r="W18" s="28" t="s">
        <v>259</v>
      </c>
      <c r="X18" s="29" t="s">
        <v>97</v>
      </c>
    </row>
    <row r="19" spans="1:24" ht="17" thickBot="1" x14ac:dyDescent="0.25">
      <c r="A19" s="106" t="s">
        <v>156</v>
      </c>
      <c r="B19" s="103" t="s">
        <v>130</v>
      </c>
      <c r="C19" s="56"/>
      <c r="D19" s="56"/>
      <c r="E19" s="56"/>
      <c r="F19" s="104"/>
      <c r="K19" s="516"/>
      <c r="L19" s="1">
        <v>10</v>
      </c>
      <c r="M19" s="30">
        <v>4</v>
      </c>
      <c r="N19">
        <v>0</v>
      </c>
      <c r="O19" s="30">
        <v>0</v>
      </c>
      <c r="P19">
        <v>16</v>
      </c>
      <c r="Q19" s="31">
        <v>5</v>
      </c>
      <c r="R19" s="514"/>
      <c r="S19" s="1">
        <v>10</v>
      </c>
      <c r="T19" s="30">
        <v>4</v>
      </c>
      <c r="U19">
        <v>0</v>
      </c>
      <c r="V19" s="30">
        <v>0</v>
      </c>
      <c r="W19">
        <v>16</v>
      </c>
      <c r="X19" s="31">
        <v>5</v>
      </c>
    </row>
    <row r="20" spans="1:24" ht="16" x14ac:dyDescent="0.2">
      <c r="A20" s="106" t="s">
        <v>157</v>
      </c>
      <c r="B20" s="103" t="s">
        <v>130</v>
      </c>
      <c r="C20" s="56"/>
      <c r="D20" s="56"/>
      <c r="E20" s="56"/>
      <c r="F20" s="104"/>
      <c r="K20" s="516"/>
      <c r="L20" s="426" t="s">
        <v>1</v>
      </c>
      <c r="M20" s="424"/>
      <c r="N20" s="424"/>
      <c r="O20" s="424"/>
      <c r="P20" s="424"/>
      <c r="Q20" s="425"/>
      <c r="R20" s="514"/>
      <c r="S20" s="411" t="s">
        <v>1</v>
      </c>
      <c r="T20" s="409"/>
      <c r="U20" s="409"/>
      <c r="V20" s="409"/>
      <c r="W20" s="409"/>
      <c r="X20" s="410"/>
    </row>
    <row r="21" spans="1:24" ht="16" x14ac:dyDescent="0.2">
      <c r="A21" s="106" t="s">
        <v>158</v>
      </c>
      <c r="B21" s="103" t="s">
        <v>130</v>
      </c>
      <c r="C21" s="56"/>
      <c r="D21" s="56"/>
      <c r="E21" s="56"/>
      <c r="F21" s="104"/>
      <c r="K21" s="516"/>
      <c r="L21" s="136" t="s">
        <v>266</v>
      </c>
      <c r="M21" s="137" t="s">
        <v>45</v>
      </c>
      <c r="N21" s="137" t="s">
        <v>15</v>
      </c>
      <c r="O21" s="137" t="s">
        <v>14</v>
      </c>
      <c r="P21" s="137" t="s">
        <v>42</v>
      </c>
      <c r="Q21" s="138" t="s">
        <v>44</v>
      </c>
      <c r="R21" s="514"/>
      <c r="S21" s="18" t="s">
        <v>266</v>
      </c>
      <c r="T21" s="19" t="s">
        <v>45</v>
      </c>
      <c r="U21" s="19" t="s">
        <v>15</v>
      </c>
      <c r="V21" s="19" t="s">
        <v>14</v>
      </c>
      <c r="W21" s="19" t="s">
        <v>41</v>
      </c>
      <c r="X21" s="20" t="s">
        <v>43</v>
      </c>
    </row>
    <row r="22" spans="1:24" ht="17" thickBot="1" x14ac:dyDescent="0.25">
      <c r="A22" s="106" t="s">
        <v>159</v>
      </c>
      <c r="B22" s="103" t="s">
        <v>130</v>
      </c>
      <c r="C22" s="56"/>
      <c r="D22" s="56"/>
      <c r="E22" s="56"/>
      <c r="F22" s="104"/>
      <c r="K22" s="517"/>
      <c r="L22" s="3"/>
      <c r="M22" s="32"/>
      <c r="N22" s="4"/>
      <c r="O22" s="32"/>
      <c r="P22" s="4"/>
      <c r="Q22" s="33"/>
      <c r="R22" s="515"/>
      <c r="S22" s="3"/>
      <c r="T22" s="32"/>
      <c r="U22" s="4"/>
      <c r="V22" s="32"/>
      <c r="W22" s="4"/>
      <c r="X22" s="33"/>
    </row>
    <row r="23" spans="1:24" ht="16" x14ac:dyDescent="0.2">
      <c r="A23" s="106" t="s">
        <v>160</v>
      </c>
      <c r="B23" s="103" t="s">
        <v>130</v>
      </c>
      <c r="C23" s="56"/>
      <c r="D23" s="56"/>
      <c r="E23" s="56"/>
      <c r="F23" s="104"/>
      <c r="K23" s="426" t="s">
        <v>23</v>
      </c>
      <c r="L23" s="424"/>
      <c r="M23" s="424"/>
      <c r="N23" s="424"/>
      <c r="O23" s="424"/>
      <c r="P23" s="424"/>
      <c r="Q23" s="425"/>
      <c r="R23" s="411" t="s">
        <v>23</v>
      </c>
      <c r="S23" s="409"/>
      <c r="T23" s="409"/>
      <c r="U23" s="409"/>
      <c r="V23" s="409"/>
      <c r="W23" s="409"/>
      <c r="X23" s="410"/>
    </row>
    <row r="24" spans="1:24" ht="16" x14ac:dyDescent="0.2">
      <c r="A24" s="106" t="s">
        <v>161</v>
      </c>
      <c r="B24" s="103" t="s">
        <v>130</v>
      </c>
      <c r="C24" s="56"/>
      <c r="D24" s="56"/>
      <c r="E24" s="56"/>
      <c r="F24" s="104"/>
      <c r="K24" s="136" t="s">
        <v>24</v>
      </c>
      <c r="L24" s="137" t="s">
        <v>25</v>
      </c>
      <c r="M24" s="137" t="s">
        <v>28</v>
      </c>
      <c r="N24" s="137" t="s">
        <v>26</v>
      </c>
      <c r="O24" s="137" t="s">
        <v>30</v>
      </c>
      <c r="P24" s="137" t="s">
        <v>27</v>
      </c>
      <c r="Q24" s="138" t="s">
        <v>29</v>
      </c>
      <c r="R24" s="18" t="s">
        <v>24</v>
      </c>
      <c r="S24" s="19" t="s">
        <v>25</v>
      </c>
      <c r="T24" s="19" t="s">
        <v>28</v>
      </c>
      <c r="U24" s="19" t="s">
        <v>26</v>
      </c>
      <c r="V24" s="19" t="s">
        <v>30</v>
      </c>
      <c r="W24" s="19" t="s">
        <v>27</v>
      </c>
      <c r="X24" s="20" t="s">
        <v>29</v>
      </c>
    </row>
    <row r="25" spans="1:24" ht="16" x14ac:dyDescent="0.2">
      <c r="A25" s="106" t="s">
        <v>162</v>
      </c>
      <c r="B25" s="103" t="s">
        <v>127</v>
      </c>
      <c r="C25" s="56"/>
      <c r="D25" s="56"/>
      <c r="E25" s="56"/>
      <c r="F25" s="104"/>
      <c r="K25" s="9" t="s">
        <v>31</v>
      </c>
      <c r="L25">
        <v>0</v>
      </c>
      <c r="M25" s="34">
        <v>0</v>
      </c>
      <c r="N25">
        <v>0</v>
      </c>
      <c r="O25" s="34">
        <v>0</v>
      </c>
      <c r="P25">
        <v>0</v>
      </c>
      <c r="Q25" s="2">
        <v>0</v>
      </c>
      <c r="R25" s="21" t="s">
        <v>31</v>
      </c>
      <c r="S25">
        <v>0</v>
      </c>
      <c r="T25" s="34">
        <v>0</v>
      </c>
      <c r="U25">
        <v>0</v>
      </c>
      <c r="V25" s="34">
        <v>0</v>
      </c>
      <c r="W25">
        <v>0</v>
      </c>
      <c r="X25" s="2">
        <v>0</v>
      </c>
    </row>
    <row r="26" spans="1:24" ht="16" x14ac:dyDescent="0.2">
      <c r="A26" s="106" t="s">
        <v>163</v>
      </c>
      <c r="B26" s="103" t="s">
        <v>127</v>
      </c>
      <c r="C26" s="56"/>
      <c r="D26" s="56"/>
      <c r="E26" s="56"/>
      <c r="F26" s="104"/>
      <c r="K26" s="10" t="s">
        <v>32</v>
      </c>
      <c r="L26" s="30">
        <v>13</v>
      </c>
      <c r="M26" s="35">
        <v>647</v>
      </c>
      <c r="N26" s="30">
        <v>6</v>
      </c>
      <c r="O26" s="35">
        <v>444</v>
      </c>
      <c r="P26" s="30">
        <v>0</v>
      </c>
      <c r="Q26" s="31">
        <v>0</v>
      </c>
      <c r="R26" s="22" t="s">
        <v>32</v>
      </c>
      <c r="S26" s="30">
        <v>13</v>
      </c>
      <c r="T26" s="35">
        <v>647</v>
      </c>
      <c r="U26" s="30">
        <v>6</v>
      </c>
      <c r="V26" s="35">
        <v>444</v>
      </c>
      <c r="W26" s="30">
        <v>0</v>
      </c>
      <c r="X26" s="31">
        <v>0</v>
      </c>
    </row>
    <row r="27" spans="1:24" ht="16" x14ac:dyDescent="0.2">
      <c r="A27" s="106" t="s">
        <v>164</v>
      </c>
      <c r="B27" s="103" t="s">
        <v>129</v>
      </c>
      <c r="C27" s="56"/>
      <c r="D27" s="56"/>
      <c r="E27" s="56"/>
      <c r="F27" s="104"/>
      <c r="K27" s="10" t="s">
        <v>33</v>
      </c>
      <c r="L27">
        <v>0</v>
      </c>
      <c r="M27" s="36">
        <v>0</v>
      </c>
      <c r="N27">
        <v>0</v>
      </c>
      <c r="O27" s="36">
        <v>0</v>
      </c>
      <c r="P27">
        <v>1</v>
      </c>
      <c r="Q27" s="2">
        <v>18</v>
      </c>
      <c r="R27" s="22" t="s">
        <v>33</v>
      </c>
      <c r="S27">
        <v>0</v>
      </c>
      <c r="T27" s="36">
        <v>0</v>
      </c>
      <c r="U27">
        <v>0</v>
      </c>
      <c r="V27" s="36">
        <v>0</v>
      </c>
      <c r="W27">
        <v>1</v>
      </c>
      <c r="X27" s="2">
        <v>18</v>
      </c>
    </row>
    <row r="28" spans="1:24" ht="16" x14ac:dyDescent="0.2">
      <c r="A28" s="106" t="s">
        <v>165</v>
      </c>
      <c r="B28" s="103" t="s">
        <v>128</v>
      </c>
      <c r="C28" s="56"/>
      <c r="D28" s="56"/>
      <c r="E28" s="56"/>
      <c r="F28" s="104"/>
      <c r="K28" s="10" t="s">
        <v>34</v>
      </c>
      <c r="L28" s="30">
        <v>0</v>
      </c>
      <c r="M28" s="35">
        <v>0</v>
      </c>
      <c r="N28" s="30">
        <v>0</v>
      </c>
      <c r="O28" s="35">
        <v>0</v>
      </c>
      <c r="P28" s="30">
        <v>0</v>
      </c>
      <c r="Q28" s="31">
        <v>0</v>
      </c>
      <c r="R28" s="22" t="s">
        <v>34</v>
      </c>
      <c r="S28" s="30">
        <v>0</v>
      </c>
      <c r="T28" s="35">
        <v>0</v>
      </c>
      <c r="U28" s="30">
        <v>0</v>
      </c>
      <c r="V28" s="35">
        <v>0</v>
      </c>
      <c r="W28" s="30">
        <v>0</v>
      </c>
      <c r="X28" s="31">
        <v>0</v>
      </c>
    </row>
    <row r="29" spans="1:24" ht="16" x14ac:dyDescent="0.2">
      <c r="A29" s="106" t="s">
        <v>166</v>
      </c>
      <c r="B29" s="103" t="s">
        <v>128</v>
      </c>
      <c r="C29" s="56"/>
      <c r="D29" s="56"/>
      <c r="E29" s="56"/>
      <c r="F29" s="104"/>
      <c r="K29" s="10" t="s">
        <v>35</v>
      </c>
      <c r="L29">
        <v>0</v>
      </c>
      <c r="M29" s="36">
        <v>0</v>
      </c>
      <c r="N29">
        <v>0</v>
      </c>
      <c r="O29" s="36">
        <v>0</v>
      </c>
      <c r="P29">
        <v>0</v>
      </c>
      <c r="Q29" s="2">
        <v>0</v>
      </c>
      <c r="R29" s="22" t="s">
        <v>35</v>
      </c>
      <c r="S29">
        <v>0</v>
      </c>
      <c r="T29" s="36">
        <v>0</v>
      </c>
      <c r="U29">
        <v>0</v>
      </c>
      <c r="V29" s="36">
        <v>0</v>
      </c>
      <c r="W29">
        <v>0</v>
      </c>
      <c r="X29" s="2">
        <v>0</v>
      </c>
    </row>
    <row r="30" spans="1:24" ht="16" x14ac:dyDescent="0.2">
      <c r="A30" s="106" t="s">
        <v>167</v>
      </c>
      <c r="B30" s="103" t="s">
        <v>129</v>
      </c>
      <c r="C30" s="56"/>
      <c r="D30" s="56"/>
      <c r="E30" s="56"/>
      <c r="F30" s="104"/>
      <c r="K30" s="10" t="s">
        <v>36</v>
      </c>
      <c r="L30" s="30">
        <v>0</v>
      </c>
      <c r="M30" s="35">
        <v>0</v>
      </c>
      <c r="N30" s="30">
        <v>0</v>
      </c>
      <c r="O30" s="35">
        <v>0</v>
      </c>
      <c r="P30" s="30">
        <v>0</v>
      </c>
      <c r="Q30" s="31">
        <v>0</v>
      </c>
      <c r="R30" s="22" t="s">
        <v>36</v>
      </c>
      <c r="S30" s="30">
        <v>0</v>
      </c>
      <c r="T30" s="35">
        <v>0</v>
      </c>
      <c r="U30" s="30">
        <v>0</v>
      </c>
      <c r="V30" s="35">
        <v>0</v>
      </c>
      <c r="W30" s="30">
        <v>0</v>
      </c>
      <c r="X30" s="31">
        <v>0</v>
      </c>
    </row>
    <row r="31" spans="1:24" ht="16" x14ac:dyDescent="0.2">
      <c r="A31" s="106" t="s">
        <v>168</v>
      </c>
      <c r="B31" s="103" t="s">
        <v>130</v>
      </c>
      <c r="C31" s="56"/>
      <c r="D31" s="56"/>
      <c r="E31" s="56"/>
      <c r="F31" s="104"/>
      <c r="K31" s="10" t="s">
        <v>37</v>
      </c>
      <c r="L31">
        <v>0</v>
      </c>
      <c r="M31" s="36">
        <v>0</v>
      </c>
      <c r="N31">
        <v>0</v>
      </c>
      <c r="O31" s="36">
        <v>0</v>
      </c>
      <c r="P31">
        <v>0</v>
      </c>
      <c r="Q31" s="2">
        <v>0</v>
      </c>
      <c r="R31" s="22" t="s">
        <v>37</v>
      </c>
      <c r="S31">
        <v>0</v>
      </c>
      <c r="T31" s="36">
        <v>0</v>
      </c>
      <c r="U31">
        <v>0</v>
      </c>
      <c r="V31" s="36">
        <v>0</v>
      </c>
      <c r="W31">
        <v>0</v>
      </c>
      <c r="X31" s="2">
        <v>0</v>
      </c>
    </row>
    <row r="32" spans="1:24" ht="16" x14ac:dyDescent="0.2">
      <c r="A32" s="106" t="s">
        <v>169</v>
      </c>
      <c r="B32" s="103" t="s">
        <v>129</v>
      </c>
      <c r="C32" s="56"/>
      <c r="D32" s="56"/>
      <c r="E32" s="56"/>
      <c r="F32" s="104"/>
      <c r="K32" s="10" t="s">
        <v>38</v>
      </c>
      <c r="L32" s="30">
        <v>0</v>
      </c>
      <c r="M32" s="35">
        <v>0</v>
      </c>
      <c r="N32" s="30">
        <v>0</v>
      </c>
      <c r="O32" s="35">
        <v>0</v>
      </c>
      <c r="P32" s="30">
        <v>0</v>
      </c>
      <c r="Q32" s="31">
        <v>0</v>
      </c>
      <c r="R32" s="22" t="s">
        <v>38</v>
      </c>
      <c r="S32" s="30">
        <v>0</v>
      </c>
      <c r="T32" s="35">
        <v>0</v>
      </c>
      <c r="U32" s="30">
        <v>0</v>
      </c>
      <c r="V32" s="35">
        <v>0</v>
      </c>
      <c r="W32" s="30">
        <v>0</v>
      </c>
      <c r="X32" s="31">
        <v>0</v>
      </c>
    </row>
    <row r="33" spans="1:24" ht="16" x14ac:dyDescent="0.2">
      <c r="A33" s="106" t="s">
        <v>170</v>
      </c>
      <c r="B33" s="103" t="s">
        <v>139</v>
      </c>
      <c r="C33" s="56" t="s">
        <v>127</v>
      </c>
      <c r="D33" s="56" t="s">
        <v>128</v>
      </c>
      <c r="E33" s="56"/>
      <c r="F33" s="104"/>
      <c r="K33" s="10" t="s">
        <v>39</v>
      </c>
      <c r="L33">
        <v>0</v>
      </c>
      <c r="M33" s="36">
        <v>0</v>
      </c>
      <c r="N33">
        <v>0</v>
      </c>
      <c r="O33" s="36">
        <v>0</v>
      </c>
      <c r="P33">
        <v>0</v>
      </c>
      <c r="Q33" s="2">
        <v>0</v>
      </c>
      <c r="R33" s="22" t="s">
        <v>39</v>
      </c>
      <c r="S33">
        <v>0</v>
      </c>
      <c r="T33" s="36">
        <v>0</v>
      </c>
      <c r="U33">
        <v>0</v>
      </c>
      <c r="V33" s="36">
        <v>0</v>
      </c>
      <c r="W33">
        <v>0</v>
      </c>
      <c r="X33" s="2">
        <v>0</v>
      </c>
    </row>
    <row r="34" spans="1:24" ht="17" thickBot="1" x14ac:dyDescent="0.25">
      <c r="A34" s="106" t="s">
        <v>171</v>
      </c>
      <c r="B34" s="103" t="s">
        <v>139</v>
      </c>
      <c r="C34" s="56" t="s">
        <v>130</v>
      </c>
      <c r="D34" s="56" t="s">
        <v>129</v>
      </c>
      <c r="E34" s="56" t="s">
        <v>127</v>
      </c>
      <c r="F34" s="104" t="s">
        <v>128</v>
      </c>
      <c r="K34" s="11" t="s">
        <v>40</v>
      </c>
      <c r="L34" s="32">
        <v>0</v>
      </c>
      <c r="M34" s="37">
        <v>0</v>
      </c>
      <c r="N34" s="32">
        <v>0</v>
      </c>
      <c r="O34" s="37">
        <v>0</v>
      </c>
      <c r="P34" s="32">
        <v>0</v>
      </c>
      <c r="Q34" s="33">
        <v>0</v>
      </c>
      <c r="R34" s="23" t="s">
        <v>40</v>
      </c>
      <c r="S34" s="32">
        <v>0</v>
      </c>
      <c r="T34" s="37">
        <v>0</v>
      </c>
      <c r="U34" s="32">
        <v>0</v>
      </c>
      <c r="V34" s="37">
        <v>0</v>
      </c>
      <c r="W34" s="32">
        <v>0</v>
      </c>
      <c r="X34" s="33">
        <v>0</v>
      </c>
    </row>
    <row r="35" spans="1:24" ht="16" x14ac:dyDescent="0.2">
      <c r="A35" s="106" t="s">
        <v>172</v>
      </c>
      <c r="B35" s="103" t="s">
        <v>139</v>
      </c>
      <c r="C35" s="56" t="s">
        <v>127</v>
      </c>
      <c r="D35" s="56"/>
      <c r="E35" s="56"/>
      <c r="F35" s="104"/>
    </row>
    <row r="36" spans="1:24" ht="16" x14ac:dyDescent="0.2">
      <c r="A36" s="106" t="s">
        <v>173</v>
      </c>
      <c r="B36" s="103" t="s">
        <v>130</v>
      </c>
      <c r="C36" s="56" t="s">
        <v>129</v>
      </c>
      <c r="D36" s="56" t="s">
        <v>127</v>
      </c>
      <c r="E36" s="56"/>
      <c r="F36" s="104"/>
    </row>
    <row r="37" spans="1:24" ht="16" x14ac:dyDescent="0.2">
      <c r="A37" s="106" t="s">
        <v>174</v>
      </c>
      <c r="B37" s="103" t="s">
        <v>139</v>
      </c>
      <c r="C37" s="56" t="s">
        <v>127</v>
      </c>
      <c r="D37" s="56"/>
      <c r="E37" s="56"/>
      <c r="F37" s="104"/>
    </row>
    <row r="38" spans="1:24" ht="16" x14ac:dyDescent="0.2">
      <c r="A38" s="106" t="s">
        <v>175</v>
      </c>
      <c r="B38" s="103" t="s">
        <v>139</v>
      </c>
      <c r="C38" s="56"/>
      <c r="D38" s="56"/>
      <c r="E38" s="56"/>
      <c r="F38" s="104"/>
    </row>
    <row r="39" spans="1:24" ht="16" x14ac:dyDescent="0.2">
      <c r="A39" s="106" t="s">
        <v>176</v>
      </c>
      <c r="B39" s="103" t="s">
        <v>128</v>
      </c>
      <c r="C39" s="56"/>
      <c r="D39" s="56"/>
      <c r="E39" s="56"/>
      <c r="F39" s="104"/>
    </row>
    <row r="40" spans="1:24" ht="16" x14ac:dyDescent="0.2">
      <c r="A40" s="106" t="s">
        <v>177</v>
      </c>
      <c r="B40" s="103" t="s">
        <v>130</v>
      </c>
      <c r="C40" s="56"/>
      <c r="D40" s="56"/>
      <c r="E40" s="56"/>
      <c r="F40" s="104"/>
    </row>
    <row r="41" spans="1:24" ht="16" x14ac:dyDescent="0.2">
      <c r="A41" s="106" t="s">
        <v>178</v>
      </c>
      <c r="B41" s="103" t="s">
        <v>127</v>
      </c>
      <c r="C41" s="56"/>
      <c r="D41" s="56"/>
      <c r="E41" s="56"/>
      <c r="F41" s="104"/>
    </row>
    <row r="42" spans="1:24" ht="16" x14ac:dyDescent="0.2">
      <c r="A42" s="106" t="s">
        <v>179</v>
      </c>
      <c r="B42" s="103" t="s">
        <v>127</v>
      </c>
      <c r="C42" s="56"/>
      <c r="D42" s="56"/>
      <c r="E42" s="56"/>
      <c r="F42" s="104"/>
    </row>
    <row r="43" spans="1:24" ht="16" x14ac:dyDescent="0.2">
      <c r="A43" s="106" t="s">
        <v>180</v>
      </c>
      <c r="B43" s="103" t="s">
        <v>129</v>
      </c>
      <c r="C43" s="56" t="s">
        <v>127</v>
      </c>
      <c r="D43" s="56" t="s">
        <v>128</v>
      </c>
      <c r="E43" s="56"/>
      <c r="F43" s="104"/>
    </row>
    <row r="44" spans="1:24" ht="16" x14ac:dyDescent="0.2">
      <c r="A44" s="106" t="s">
        <v>181</v>
      </c>
      <c r="B44" s="103" t="s">
        <v>130</v>
      </c>
      <c r="C44" s="56" t="s">
        <v>128</v>
      </c>
      <c r="D44" s="56"/>
      <c r="E44" s="56"/>
      <c r="F44" s="104"/>
    </row>
    <row r="45" spans="1:24" ht="16" x14ac:dyDescent="0.2">
      <c r="A45" s="106" t="s">
        <v>182</v>
      </c>
      <c r="B45" s="103" t="s">
        <v>139</v>
      </c>
      <c r="C45" s="56" t="s">
        <v>127</v>
      </c>
      <c r="D45" s="56"/>
      <c r="E45" s="56"/>
      <c r="F45" s="104"/>
    </row>
    <row r="46" spans="1:24" ht="16" x14ac:dyDescent="0.2">
      <c r="A46" s="106" t="s">
        <v>183</v>
      </c>
      <c r="B46" s="103" t="s">
        <v>139</v>
      </c>
      <c r="C46" s="56" t="s">
        <v>127</v>
      </c>
      <c r="D46" s="56"/>
      <c r="E46" s="56"/>
      <c r="F46" s="104"/>
    </row>
    <row r="47" spans="1:24" ht="16" x14ac:dyDescent="0.2">
      <c r="A47" s="106" t="s">
        <v>184</v>
      </c>
      <c r="B47" s="103" t="s">
        <v>139</v>
      </c>
      <c r="C47" s="56"/>
      <c r="D47" s="56"/>
      <c r="E47" s="56"/>
      <c r="F47" s="104"/>
    </row>
    <row r="48" spans="1:24" ht="16" x14ac:dyDescent="0.2">
      <c r="A48" s="106" t="s">
        <v>185</v>
      </c>
      <c r="B48" s="103" t="s">
        <v>139</v>
      </c>
      <c r="C48" s="56" t="s">
        <v>127</v>
      </c>
      <c r="D48" s="56" t="s">
        <v>186</v>
      </c>
      <c r="E48" s="56"/>
      <c r="F48" s="104"/>
    </row>
    <row r="49" spans="1:6" ht="16" x14ac:dyDescent="0.2">
      <c r="A49" s="106" t="s">
        <v>187</v>
      </c>
      <c r="B49" s="103" t="s">
        <v>188</v>
      </c>
      <c r="C49" s="56" t="s">
        <v>153</v>
      </c>
      <c r="D49" s="56" t="s">
        <v>154</v>
      </c>
      <c r="E49" s="56" t="s">
        <v>129</v>
      </c>
      <c r="F49" s="104"/>
    </row>
    <row r="50" spans="1:6" ht="16" x14ac:dyDescent="0.2">
      <c r="A50" s="106" t="s">
        <v>189</v>
      </c>
      <c r="B50" s="103" t="s">
        <v>129</v>
      </c>
      <c r="C50" s="56"/>
      <c r="D50" s="56"/>
      <c r="E50" s="56"/>
      <c r="F50" s="104"/>
    </row>
    <row r="51" spans="1:6" ht="16" x14ac:dyDescent="0.2">
      <c r="A51" s="106" t="s">
        <v>147</v>
      </c>
      <c r="B51" s="103" t="s">
        <v>130</v>
      </c>
      <c r="C51" s="56"/>
      <c r="D51" s="56"/>
      <c r="E51" s="56"/>
      <c r="F51" s="104"/>
    </row>
    <row r="52" spans="1:6" ht="16" x14ac:dyDescent="0.2">
      <c r="A52" s="106" t="s">
        <v>148</v>
      </c>
      <c r="B52" s="103" t="s">
        <v>149</v>
      </c>
      <c r="C52" s="56"/>
      <c r="D52" s="56"/>
      <c r="E52" s="56"/>
      <c r="F52" s="104"/>
    </row>
    <row r="53" spans="1:6" ht="16" x14ac:dyDescent="0.2">
      <c r="A53" s="106" t="s">
        <v>190</v>
      </c>
      <c r="B53" s="103" t="s">
        <v>139</v>
      </c>
      <c r="C53" s="56"/>
      <c r="D53" s="56"/>
      <c r="E53" s="56"/>
      <c r="F53" s="104"/>
    </row>
    <row r="54" spans="1:6" ht="16" x14ac:dyDescent="0.2">
      <c r="A54" s="106" t="s">
        <v>191</v>
      </c>
      <c r="B54" s="103" t="s">
        <v>192</v>
      </c>
      <c r="C54" s="56" t="s">
        <v>193</v>
      </c>
      <c r="D54" s="56" t="s">
        <v>127</v>
      </c>
      <c r="E54" s="56"/>
      <c r="F54" s="104"/>
    </row>
    <row r="55" spans="1:6" ht="16" x14ac:dyDescent="0.2">
      <c r="A55" s="106" t="s">
        <v>194</v>
      </c>
      <c r="B55" s="103" t="s">
        <v>139</v>
      </c>
      <c r="C55" s="56" t="s">
        <v>130</v>
      </c>
      <c r="D55" s="56"/>
      <c r="E55" s="56"/>
      <c r="F55" s="104"/>
    </row>
    <row r="56" spans="1:6" ht="16" x14ac:dyDescent="0.2">
      <c r="A56" s="106" t="s">
        <v>195</v>
      </c>
      <c r="B56" s="103" t="s">
        <v>130</v>
      </c>
      <c r="C56" s="56"/>
      <c r="D56" s="56"/>
      <c r="E56" s="56"/>
      <c r="F56" s="104"/>
    </row>
  </sheetData>
  <mergeCells count="31">
    <mergeCell ref="K1:Q1"/>
    <mergeCell ref="K2:Q2"/>
    <mergeCell ref="R2:X2"/>
    <mergeCell ref="K3:K22"/>
    <mergeCell ref="L3:Q3"/>
    <mergeCell ref="R3:R22"/>
    <mergeCell ref="S3:X3"/>
    <mergeCell ref="L4:M4"/>
    <mergeCell ref="N4:O4"/>
    <mergeCell ref="P4:Q4"/>
    <mergeCell ref="S4:T4"/>
    <mergeCell ref="U4:V4"/>
    <mergeCell ref="W4:X4"/>
    <mergeCell ref="L8:O8"/>
    <mergeCell ref="P8:Q8"/>
    <mergeCell ref="S8:V8"/>
    <mergeCell ref="W8:X8"/>
    <mergeCell ref="L9:M9"/>
    <mergeCell ref="N9:O9"/>
    <mergeCell ref="S9:T9"/>
    <mergeCell ref="U9:V9"/>
    <mergeCell ref="L13:M13"/>
    <mergeCell ref="S13:T13"/>
    <mergeCell ref="K23:Q23"/>
    <mergeCell ref="R23:X23"/>
    <mergeCell ref="L14:Q14"/>
    <mergeCell ref="S14:X14"/>
    <mergeCell ref="L17:Q17"/>
    <mergeCell ref="S17:X17"/>
    <mergeCell ref="L20:Q20"/>
    <mergeCell ref="S20:X2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55</vt:i4>
      </vt:variant>
      <vt:variant>
        <vt:lpstr>Named Ranges</vt:lpstr>
      </vt:variant>
      <vt:variant>
        <vt:i4>9</vt:i4>
      </vt:variant>
    </vt:vector>
  </HeadingPairs>
  <TitlesOfParts>
    <vt:vector size="64" baseType="lpstr">
      <vt:lpstr>Instructions</vt:lpstr>
      <vt:lpstr>Dates</vt:lpstr>
      <vt:lpstr>Info</vt:lpstr>
      <vt:lpstr>CalendarPlan</vt:lpstr>
      <vt:lpstr>CSE CM</vt:lpstr>
      <vt:lpstr>CSE PM</vt:lpstr>
      <vt:lpstr>DataInput CSE</vt:lpstr>
      <vt:lpstr>MSE PM</vt:lpstr>
      <vt:lpstr>MSE CM</vt:lpstr>
      <vt:lpstr>DataInput MSE</vt:lpstr>
      <vt:lpstr>Controls</vt:lpstr>
      <vt:lpstr>Charts</vt:lpstr>
      <vt:lpstr>WeekReport</vt:lpstr>
      <vt:lpstr>WeekLog_40</vt:lpstr>
      <vt:lpstr>Week_40</vt:lpstr>
      <vt:lpstr>WeekLog_39</vt:lpstr>
      <vt:lpstr>Week_39</vt:lpstr>
      <vt:lpstr>WeekLog_38</vt:lpstr>
      <vt:lpstr>Week_38</vt:lpstr>
      <vt:lpstr>WeekLog_37</vt:lpstr>
      <vt:lpstr>Week_37</vt:lpstr>
      <vt:lpstr>WeekLog_36</vt:lpstr>
      <vt:lpstr>Week_36</vt:lpstr>
      <vt:lpstr>WeekLog_35</vt:lpstr>
      <vt:lpstr>Week_35</vt:lpstr>
      <vt:lpstr>WeekLog_33</vt:lpstr>
      <vt:lpstr>Week_33</vt:lpstr>
      <vt:lpstr>WeekLog_32</vt:lpstr>
      <vt:lpstr>Week_32</vt:lpstr>
      <vt:lpstr>WeekLog_31</vt:lpstr>
      <vt:lpstr>Week_31</vt:lpstr>
      <vt:lpstr>WeekLog_30</vt:lpstr>
      <vt:lpstr>Week_30</vt:lpstr>
      <vt:lpstr>Week_29</vt:lpstr>
      <vt:lpstr>Week_28</vt:lpstr>
      <vt:lpstr>Week_27</vt:lpstr>
      <vt:lpstr>Week_26</vt:lpstr>
      <vt:lpstr>WeekLog_29</vt:lpstr>
      <vt:lpstr>WeekLog_28</vt:lpstr>
      <vt:lpstr>WeekLog_27</vt:lpstr>
      <vt:lpstr>WeekLog_26</vt:lpstr>
      <vt:lpstr>PieChartData</vt:lpstr>
      <vt:lpstr>MonthReportCSE</vt:lpstr>
      <vt:lpstr>MonthCSE_8</vt:lpstr>
      <vt:lpstr>MonthLogCSE_8</vt:lpstr>
      <vt:lpstr>MonthCSE_7</vt:lpstr>
      <vt:lpstr>MonthReportMSE</vt:lpstr>
      <vt:lpstr>MonthMSE_7</vt:lpstr>
      <vt:lpstr>MonthMSE_8</vt:lpstr>
      <vt:lpstr>yrCount</vt:lpstr>
      <vt:lpstr>MonthLogMSE_8</vt:lpstr>
      <vt:lpstr>YearReportCSE</vt:lpstr>
      <vt:lpstr>YearReportMSE</vt:lpstr>
      <vt:lpstr>MBS</vt:lpstr>
      <vt:lpstr>BackupData</vt:lpstr>
      <vt:lpstr>DATA1</vt:lpstr>
      <vt:lpstr>DATA2</vt:lpstr>
      <vt:lpstr>DATA3</vt:lpstr>
      <vt:lpstr>DATA4</vt:lpstr>
      <vt:lpstr>DATA5</vt:lpstr>
      <vt:lpstr>DATA6</vt:lpstr>
      <vt:lpstr>DATA7</vt:lpstr>
      <vt:lpstr>TEST0</vt:lpstr>
      <vt:lpstr>TESTKEYS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Brown.OW</dc:creator>
  <cp:lastModifiedBy>Oscar Brown</cp:lastModifiedBy>
  <cp:lastPrinted>2023-08-17T14:07:42Z</cp:lastPrinted>
  <dcterms:created xsi:type="dcterms:W3CDTF">2023-06-16T11:57:21Z</dcterms:created>
  <dcterms:modified xsi:type="dcterms:W3CDTF">2023-12-01T05:23:17Z</dcterms:modified>
</cp:coreProperties>
</file>